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uzarov\Desktop\"/>
    </mc:Choice>
  </mc:AlternateContent>
  <xr:revisionPtr revIDLastSave="0" documentId="13_ncr:1_{35A55CAF-3D7A-43D7-922E-D9EEADCA8553}" xr6:coauthVersionLast="47" xr6:coauthVersionMax="47" xr10:uidLastSave="{00000000-0000-0000-0000-000000000000}"/>
  <bookViews>
    <workbookView xWindow="-120" yWindow="-120" windowWidth="29040" windowHeight="15840" activeTab="2" xr2:uid="{8EE4D00F-9EA0-4F65-810F-5774AD50496E}"/>
  </bookViews>
  <sheets>
    <sheet name="Sheet1" sheetId="1" r:id="rId1"/>
    <sheet name="Лист1" sheetId="2" r:id="rId2"/>
    <sheet name="SIE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" i="3" l="1"/>
  <c r="P16" i="3" s="1"/>
  <c r="T16" i="3" s="1"/>
  <c r="G16" i="3"/>
  <c r="T15" i="3"/>
  <c r="P14" i="3"/>
  <c r="T14" i="3" s="1"/>
  <c r="O14" i="3"/>
  <c r="G14" i="3"/>
  <c r="P13" i="3"/>
  <c r="T13" i="3" s="1"/>
  <c r="O13" i="3"/>
  <c r="G13" i="3"/>
  <c r="P12" i="3"/>
  <c r="T12" i="3" s="1"/>
  <c r="O12" i="3"/>
  <c r="G12" i="3"/>
  <c r="P11" i="3"/>
  <c r="T11" i="3" s="1"/>
  <c r="O11" i="3"/>
  <c r="G11" i="3"/>
  <c r="P10" i="3"/>
  <c r="T10" i="3" s="1"/>
  <c r="O10" i="3"/>
  <c r="G10" i="3"/>
  <c r="P9" i="3"/>
  <c r="T9" i="3" s="1"/>
  <c r="O9" i="3"/>
  <c r="G9" i="3"/>
  <c r="P8" i="3"/>
  <c r="T8" i="3" s="1"/>
  <c r="O8" i="3"/>
  <c r="G8" i="3"/>
  <c r="P7" i="3"/>
  <c r="T7" i="3" s="1"/>
  <c r="O7" i="3"/>
  <c r="G7" i="3"/>
  <c r="P6" i="3"/>
  <c r="T6" i="3" s="1"/>
  <c r="O6" i="3"/>
  <c r="G6" i="3"/>
  <c r="P5" i="3"/>
  <c r="T5" i="3" s="1"/>
  <c r="O5" i="3"/>
  <c r="G5" i="3"/>
  <c r="P4" i="3"/>
  <c r="P18" i="3" s="1"/>
  <c r="O4" i="3"/>
  <c r="G4" i="3"/>
  <c r="G19" i="3" s="1"/>
  <c r="G23" i="3" s="1"/>
  <c r="T7" i="2"/>
  <c r="T9" i="2"/>
  <c r="T15" i="2"/>
  <c r="G23" i="2"/>
  <c r="O4" i="2"/>
  <c r="P4" i="2" s="1"/>
  <c r="T4" i="2" s="1"/>
  <c r="O5" i="2"/>
  <c r="P5" i="2" s="1"/>
  <c r="T5" i="2" s="1"/>
  <c r="O6" i="2"/>
  <c r="P6" i="2" s="1"/>
  <c r="T6" i="2" s="1"/>
  <c r="O7" i="2"/>
  <c r="P7" i="2" s="1"/>
  <c r="O8" i="2"/>
  <c r="P8" i="2" s="1"/>
  <c r="T8" i="2" s="1"/>
  <c r="O9" i="2"/>
  <c r="P9" i="2" s="1"/>
  <c r="O10" i="2"/>
  <c r="P10" i="2" s="1"/>
  <c r="T10" i="2" s="1"/>
  <c r="O11" i="2"/>
  <c r="P11" i="2" s="1"/>
  <c r="T11" i="2" s="1"/>
  <c r="O12" i="2"/>
  <c r="P12" i="2" s="1"/>
  <c r="T12" i="2" s="1"/>
  <c r="O13" i="2"/>
  <c r="P13" i="2" s="1"/>
  <c r="T13" i="2" s="1"/>
  <c r="O14" i="2"/>
  <c r="P14" i="2" s="1"/>
  <c r="T14" i="2" s="1"/>
  <c r="O16" i="2"/>
  <c r="P16" i="2" s="1"/>
  <c r="T16" i="2" s="1"/>
  <c r="J23" i="3" l="1"/>
  <c r="T4" i="3"/>
  <c r="T23" i="3" s="1"/>
  <c r="T23" i="2"/>
  <c r="P18" i="2"/>
  <c r="J23" i="2" s="1"/>
  <c r="G19" i="2"/>
  <c r="G5" i="2"/>
  <c r="G6" i="2"/>
  <c r="G7" i="2"/>
  <c r="G8" i="2"/>
  <c r="G9" i="2"/>
  <c r="G10" i="2"/>
  <c r="G11" i="2"/>
  <c r="G12" i="2"/>
  <c r="G13" i="2"/>
  <c r="G14" i="2"/>
  <c r="G16" i="2"/>
  <c r="G4" i="2"/>
  <c r="E131" i="1"/>
  <c r="E132" i="1"/>
  <c r="E133" i="1"/>
  <c r="E134" i="1"/>
  <c r="E135" i="1"/>
  <c r="E122" i="1"/>
  <c r="E123" i="1"/>
  <c r="E124" i="1"/>
  <c r="E125" i="1"/>
  <c r="E126" i="1"/>
  <c r="E127" i="1"/>
  <c r="E128" i="1"/>
  <c r="E129" i="1"/>
  <c r="E130" i="1"/>
  <c r="E121" i="1"/>
  <c r="E98" i="1"/>
  <c r="E108" i="1"/>
  <c r="E99" i="1"/>
  <c r="G97" i="1" s="1"/>
  <c r="G98" i="1" s="1"/>
  <c r="D98" i="1"/>
  <c r="C98" i="1"/>
  <c r="F69" i="1"/>
  <c r="G69" i="1"/>
  <c r="G68" i="1"/>
  <c r="F68" i="1"/>
  <c r="AB7" i="1"/>
  <c r="AC7" i="1"/>
  <c r="AB8" i="1"/>
  <c r="AC8" i="1"/>
  <c r="AB9" i="1"/>
  <c r="AC9" i="1"/>
  <c r="AB10" i="1"/>
  <c r="AC10" i="1"/>
  <c r="AC6" i="1"/>
  <c r="AB6" i="1"/>
  <c r="B22" i="1"/>
  <c r="E22" i="1"/>
  <c r="E23" i="1" s="1"/>
  <c r="G108" i="1" l="1"/>
  <c r="E24" i="1"/>
  <c r="F23" i="1"/>
  <c r="G23" i="1" s="1"/>
  <c r="H23" i="1" s="1"/>
  <c r="I23" i="1" s="1"/>
  <c r="F22" i="1"/>
  <c r="G22" i="1" s="1"/>
  <c r="H22" i="1" s="1"/>
  <c r="I22" i="1" s="1"/>
  <c r="E109" i="1" l="1"/>
  <c r="G109" i="1" s="1"/>
  <c r="G111" i="1" s="1"/>
  <c r="F98" i="1" s="1"/>
  <c r="H98" i="1" s="1"/>
  <c r="F24" i="1"/>
  <c r="G24" i="1" s="1"/>
  <c r="H24" i="1" s="1"/>
  <c r="I24" i="1" s="1"/>
  <c r="E25" i="1"/>
  <c r="E26" i="1" l="1"/>
  <c r="F25" i="1"/>
  <c r="G25" i="1" s="1"/>
  <c r="H25" i="1" s="1"/>
  <c r="I25" i="1" s="1"/>
  <c r="E27" i="1" l="1"/>
  <c r="F26" i="1"/>
  <c r="G26" i="1" s="1"/>
  <c r="H26" i="1" s="1"/>
  <c r="I26" i="1" s="1"/>
  <c r="E28" i="1" l="1"/>
  <c r="F27" i="1"/>
  <c r="G27" i="1" s="1"/>
  <c r="H27" i="1" s="1"/>
  <c r="I27" i="1" s="1"/>
  <c r="E29" i="1" l="1"/>
  <c r="F28" i="1"/>
  <c r="G28" i="1" s="1"/>
  <c r="H28" i="1" s="1"/>
  <c r="I28" i="1" s="1"/>
  <c r="I63" i="1" s="1"/>
  <c r="E30" i="1" l="1"/>
  <c r="F29" i="1"/>
  <c r="G29" i="1" s="1"/>
  <c r="H29" i="1" s="1"/>
  <c r="E31" i="1" l="1"/>
  <c r="F30" i="1"/>
  <c r="G30" i="1" s="1"/>
  <c r="H30" i="1" s="1"/>
  <c r="E32" i="1" l="1"/>
  <c r="F31" i="1"/>
  <c r="G31" i="1" s="1"/>
  <c r="H31" i="1" s="1"/>
  <c r="E33" i="1" l="1"/>
  <c r="F32" i="1"/>
  <c r="G32" i="1" s="1"/>
  <c r="H32" i="1" s="1"/>
  <c r="E34" i="1" l="1"/>
  <c r="F33" i="1"/>
  <c r="G33" i="1" s="1"/>
  <c r="H33" i="1" s="1"/>
  <c r="E35" i="1" l="1"/>
  <c r="F34" i="1"/>
  <c r="G34" i="1" s="1"/>
  <c r="H34" i="1" s="1"/>
  <c r="E36" i="1" l="1"/>
  <c r="F35" i="1"/>
  <c r="G35" i="1" s="1"/>
  <c r="H35" i="1" s="1"/>
  <c r="E37" i="1" l="1"/>
  <c r="F36" i="1"/>
  <c r="G36" i="1" s="1"/>
  <c r="H36" i="1" s="1"/>
  <c r="E38" i="1" l="1"/>
  <c r="F37" i="1"/>
  <c r="G37" i="1" s="1"/>
  <c r="H37" i="1" s="1"/>
  <c r="E39" i="1" l="1"/>
  <c r="F38" i="1"/>
  <c r="G38" i="1" s="1"/>
  <c r="H38" i="1" s="1"/>
  <c r="E40" i="1" l="1"/>
  <c r="F39" i="1"/>
  <c r="G39" i="1" s="1"/>
  <c r="H39" i="1" s="1"/>
  <c r="F40" i="1" l="1"/>
  <c r="G40" i="1" s="1"/>
  <c r="H40" i="1" s="1"/>
  <c r="E41" i="1"/>
  <c r="E42" i="1" l="1"/>
  <c r="G41" i="1"/>
  <c r="H41" i="1" s="1"/>
  <c r="F41" i="1"/>
  <c r="E43" i="1" l="1"/>
  <c r="F42" i="1"/>
  <c r="G42" i="1" s="1"/>
  <c r="H42" i="1" s="1"/>
  <c r="F43" i="1" l="1"/>
  <c r="G43" i="1" s="1"/>
  <c r="H43" i="1" s="1"/>
  <c r="E44" i="1"/>
  <c r="E45" i="1" l="1"/>
  <c r="F44" i="1"/>
  <c r="G44" i="1" s="1"/>
  <c r="H44" i="1" s="1"/>
  <c r="E46" i="1" l="1"/>
  <c r="F45" i="1"/>
  <c r="G45" i="1" s="1"/>
  <c r="H45" i="1" s="1"/>
  <c r="E47" i="1" l="1"/>
  <c r="G46" i="1"/>
  <c r="H46" i="1" s="1"/>
  <c r="F46" i="1"/>
  <c r="E48" i="1" l="1"/>
  <c r="F47" i="1"/>
  <c r="G47" i="1" s="1"/>
  <c r="H47" i="1" s="1"/>
  <c r="E49" i="1" l="1"/>
  <c r="F48" i="1"/>
  <c r="G48" i="1" s="1"/>
  <c r="H48" i="1" s="1"/>
  <c r="E50" i="1" l="1"/>
  <c r="F49" i="1"/>
  <c r="G49" i="1" s="1"/>
  <c r="H49" i="1" s="1"/>
  <c r="E51" i="1" l="1"/>
  <c r="F50" i="1"/>
  <c r="G50" i="1" s="1"/>
  <c r="H50" i="1" s="1"/>
  <c r="E52" i="1" l="1"/>
  <c r="F51" i="1"/>
  <c r="G51" i="1" s="1"/>
  <c r="H51" i="1" s="1"/>
  <c r="E53" i="1" l="1"/>
  <c r="F52" i="1"/>
  <c r="G52" i="1" s="1"/>
  <c r="H52" i="1" s="1"/>
  <c r="E54" i="1" l="1"/>
  <c r="G53" i="1"/>
  <c r="H53" i="1" s="1"/>
  <c r="F53" i="1"/>
  <c r="E55" i="1" l="1"/>
  <c r="G54" i="1"/>
  <c r="H54" i="1" s="1"/>
  <c r="F54" i="1"/>
  <c r="E56" i="1" l="1"/>
  <c r="F55" i="1"/>
  <c r="G55" i="1" s="1"/>
  <c r="H55" i="1" s="1"/>
  <c r="E57" i="1" l="1"/>
  <c r="G56" i="1"/>
  <c r="H56" i="1" s="1"/>
  <c r="F56" i="1"/>
  <c r="Z7" i="1"/>
  <c r="Z8" i="1"/>
  <c r="Z9" i="1"/>
  <c r="Z10" i="1"/>
  <c r="Z6" i="1"/>
  <c r="X7" i="1"/>
  <c r="X8" i="1"/>
  <c r="X9" i="1"/>
  <c r="X10" i="1"/>
  <c r="X6" i="1"/>
  <c r="U7" i="1"/>
  <c r="U8" i="1"/>
  <c r="U9" i="1"/>
  <c r="U10" i="1"/>
  <c r="U6" i="1"/>
  <c r="V6" i="1" s="1"/>
  <c r="S7" i="1"/>
  <c r="S8" i="1"/>
  <c r="S9" i="1"/>
  <c r="S10" i="1"/>
  <c r="S6" i="1"/>
  <c r="T6" i="1" s="1"/>
  <c r="I15" i="1"/>
  <c r="H15" i="1"/>
  <c r="O9" i="1"/>
  <c r="O8" i="1"/>
  <c r="O7" i="1"/>
  <c r="O6" i="1"/>
  <c r="E58" i="1" l="1"/>
  <c r="G57" i="1"/>
  <c r="H57" i="1" s="1"/>
  <c r="F57" i="1"/>
  <c r="E59" i="1" l="1"/>
  <c r="G58" i="1"/>
  <c r="H58" i="1" s="1"/>
  <c r="F58" i="1"/>
  <c r="E60" i="1" l="1"/>
  <c r="F59" i="1"/>
  <c r="G59" i="1" s="1"/>
  <c r="H59" i="1" s="1"/>
  <c r="E61" i="1" l="1"/>
  <c r="F60" i="1"/>
  <c r="G60" i="1" s="1"/>
  <c r="H60" i="1" s="1"/>
  <c r="F61" i="1" l="1"/>
  <c r="G61" i="1" s="1"/>
  <c r="H61" i="1" s="1"/>
</calcChain>
</file>

<file path=xl/sharedStrings.xml><?xml version="1.0" encoding="utf-8"?>
<sst xmlns="http://schemas.openxmlformats.org/spreadsheetml/2006/main" count="270" uniqueCount="160">
  <si>
    <t>Ҳисоб</t>
  </si>
  <si>
    <t>Қиммати (чегирма билан)</t>
  </si>
  <si>
    <t>Мақбул ким учун</t>
  </si>
  <si>
    <t>Афзалликлар</t>
  </si>
  <si>
    <t>Камчиликлар</t>
  </si>
  <si>
    <t>5K</t>
  </si>
  <si>
    <t>~$45</t>
  </si>
  <si>
    <t>Янги бошловчи, сабр билан синаб кўрувчи</t>
  </si>
  <si>
    <t>Хавф паст, тажриба йиғиш учун идеал</t>
  </si>
  <si>
    <t>Фойда оз, риск учун жой оз</t>
  </si>
  <si>
    <t>10K</t>
  </si>
  <si>
    <t>~$67</t>
  </si>
  <si>
    <t>Интизомли, 1% риск билан ишлайдиган</t>
  </si>
  <si>
    <t>Риск бошқариш қулай, ишонч орттиради</t>
  </si>
  <si>
    <t>Капитал озроқ</t>
  </si>
  <si>
    <t>15K</t>
  </si>
  <si>
    <t>~$90</t>
  </si>
  <si>
    <t>Ишончли, лекин катта DD хохламайдиган</t>
  </si>
  <si>
    <t>Баланс яхши, 10% фойда = $1500</t>
  </si>
  <si>
    <t>Нисбатан каттароқ стресс</t>
  </si>
  <si>
    <t>25K</t>
  </si>
  <si>
    <t>~$150</t>
  </si>
  <si>
    <t>Асосий иш каби кўрадиганлар учун</t>
  </si>
  <si>
    <t>1% риск = $250, профессионал ҳисси</t>
  </si>
  <si>
    <t>Чегаралар катта, стресс ортиши мумкин</t>
  </si>
  <si>
    <t>50K</t>
  </si>
  <si>
    <t>~$285</t>
  </si>
  <si>
    <t>40 дан 1</t>
  </si>
  <si>
    <t>41 дан 1</t>
  </si>
  <si>
    <t>5к</t>
  </si>
  <si>
    <t>1 га 2</t>
  </si>
  <si>
    <t>Instant</t>
  </si>
  <si>
    <t>Target Step1</t>
  </si>
  <si>
    <t>Target Step2</t>
  </si>
  <si>
    <t>Price</t>
  </si>
  <si>
    <t>Target Step3</t>
  </si>
  <si>
    <t>Prop GFT</t>
  </si>
  <si>
    <t>DAYLY Drawdawn</t>
  </si>
  <si>
    <t>MAX Drawdawn</t>
  </si>
  <si>
    <t>5k Instant</t>
  </si>
  <si>
    <t>10k Instant</t>
  </si>
  <si>
    <t>USD</t>
  </si>
  <si>
    <t>5K Goat 2step</t>
  </si>
  <si>
    <t>8K Goat 2step</t>
  </si>
  <si>
    <t>15K Goat 2step</t>
  </si>
  <si>
    <t>25K Goat 2step</t>
  </si>
  <si>
    <t>50K Goat 2step</t>
  </si>
  <si>
    <t>5K Standart 2step</t>
  </si>
  <si>
    <t>8K Standart 2step</t>
  </si>
  <si>
    <t>15K Standart 2step</t>
  </si>
  <si>
    <t>25K Standart 2step</t>
  </si>
  <si>
    <t>50K Standart 2step</t>
  </si>
  <si>
    <t>10K 3step</t>
  </si>
  <si>
    <t>15K 3step</t>
  </si>
  <si>
    <t>25K 3step</t>
  </si>
  <si>
    <t>50K 3step</t>
  </si>
  <si>
    <t>64USD</t>
  </si>
  <si>
    <t>94USD</t>
  </si>
  <si>
    <t>17USD</t>
  </si>
  <si>
    <t>33USD</t>
  </si>
  <si>
    <t>58USD</t>
  </si>
  <si>
    <t>88USD</t>
  </si>
  <si>
    <t>172USD</t>
  </si>
  <si>
    <t>55USD</t>
  </si>
  <si>
    <t>112USD</t>
  </si>
  <si>
    <t>136USD</t>
  </si>
  <si>
    <t>202USD</t>
  </si>
  <si>
    <t>39USD</t>
  </si>
  <si>
    <t>51USD</t>
  </si>
  <si>
    <t>87USD</t>
  </si>
  <si>
    <t>135USD</t>
  </si>
  <si>
    <t>MAX Drawdawn 6%</t>
  </si>
  <si>
    <t>DAYLY Drawdawn 3%</t>
  </si>
  <si>
    <t>DD4%</t>
  </si>
  <si>
    <t>Max DD10%</t>
  </si>
  <si>
    <t>0.20 risk</t>
  </si>
  <si>
    <t>WIN</t>
  </si>
  <si>
    <t>1-step</t>
  </si>
  <si>
    <t>2-step</t>
  </si>
  <si>
    <t>1ga2</t>
  </si>
  <si>
    <t>Risk</t>
  </si>
  <si>
    <t>Profit</t>
  </si>
  <si>
    <t>1ga3</t>
  </si>
  <si>
    <t>LOSS</t>
  </si>
  <si>
    <t>Total P/L</t>
  </si>
  <si>
    <t>15K olib 0.20% risk bilan 30USD ishlasam buladimi? Bu yaxshimi yoki kammi?</t>
  </si>
  <si>
    <t>PIPS</t>
  </si>
  <si>
    <t>LOT</t>
  </si>
  <si>
    <t>SL</t>
  </si>
  <si>
    <t>15K GFT</t>
  </si>
  <si>
    <t>RISK</t>
  </si>
  <si>
    <t>Промышленный контроллер PLC Siemens CPU 1516-3 PN/DP, 2MB Prog., 7,5MB Data</t>
  </si>
  <si>
    <t>Профильная шина S7-1500, mounting rail 160 mm (6.3")</t>
  </si>
  <si>
    <t>Интерфейсный модуль Siemens Simatic ET 200SP, IM 155-6 PN ST</t>
  </si>
  <si>
    <t>Модуль дискретных сигналов ввода Simatic ET200SP DI 16X 24VDC, ST</t>
  </si>
  <si>
    <t>Модуль дискретных сигналов вывода Simatic ET200SP DQ 16X 24VDC/0,5A, ST</t>
  </si>
  <si>
    <t>Модуль аналоговых сигналов ввода Simatic ET200SP AI 8X 2-/4-wire</t>
  </si>
  <si>
    <t>Модуль сигналов термосопротивления Simatic ET 200SP, AI 4xRTD/TC 2-/3-/4-Wire HF</t>
  </si>
  <si>
    <t>Базовый юнит существующей группы Simatic ET200SP BaseUnit Type A0, BU15-P16+A0+2B</t>
  </si>
  <si>
    <t>Базовый юнит новой группы Simatic ET200SP BaseUnit Type A0, BU15-P16+A0+2D</t>
  </si>
  <si>
    <t>Карта памяти для ПЛК Siemens SIMATIC S7 Memory Card, 12 MB</t>
  </si>
  <si>
    <t>SCALANCE XC208</t>
  </si>
  <si>
    <t>Патч-корд Siemens TP Cord+ RJ45/RJ45 L = 3 m</t>
  </si>
  <si>
    <t>Модуль аналоговых вывода Simatic ET200SP AQ 4XU/I ST</t>
  </si>
  <si>
    <t>LINDSEY</t>
  </si>
  <si>
    <t>NONE</t>
  </si>
  <si>
    <t>LISA LIN</t>
  </si>
  <si>
    <t>OUT OF STOCK</t>
  </si>
  <si>
    <t>UNAV</t>
  </si>
  <si>
    <t>CATHY CAO</t>
  </si>
  <si>
    <t xml:space="preserve">6ES7516-3AP03-0AB0 </t>
  </si>
  <si>
    <t xml:space="preserve">6ES7590-1AB60-0AA0 </t>
  </si>
  <si>
    <t xml:space="preserve">6ES7155-6AU02-0BN0 </t>
  </si>
  <si>
    <t>6ES7131-6BH01-0BA0</t>
  </si>
  <si>
    <t xml:space="preserve">6ES7132-6BH01-0BA0 </t>
  </si>
  <si>
    <t xml:space="preserve">6ES7134-6GF00-0AA1 </t>
  </si>
  <si>
    <t>6ES7134-6JD00-0CA1</t>
  </si>
  <si>
    <t xml:space="preserve">6ES7193-6BP00-0BA0 </t>
  </si>
  <si>
    <t xml:space="preserve">6ES7193-6BP00-0DA0 </t>
  </si>
  <si>
    <t>6ES7954-8LE04-0AA0</t>
  </si>
  <si>
    <t xml:space="preserve">6GK5208-0BA00-2AC2 </t>
  </si>
  <si>
    <t xml:space="preserve">6XV1870-4HH30 </t>
  </si>
  <si>
    <t xml:space="preserve">6ES7135-6HD00-0BA1 </t>
  </si>
  <si>
    <t>PLC</t>
  </si>
  <si>
    <t>USD4,621.31</t>
  </si>
  <si>
    <t>USD22.74</t>
  </si>
  <si>
    <t>USD282.58</t>
  </si>
  <si>
    <t xml:space="preserve">USD93.58 </t>
  </si>
  <si>
    <t xml:space="preserve">USD107.98 
</t>
  </si>
  <si>
    <t>USD191.94</t>
  </si>
  <si>
    <t xml:space="preserve">USD211.14 
</t>
  </si>
  <si>
    <t>USD17.42</t>
  </si>
  <si>
    <t>USD23.89</t>
  </si>
  <si>
    <t>USD173.82</t>
  </si>
  <si>
    <t>USD923.97</t>
  </si>
  <si>
    <t xml:space="preserve">USD31.42 Out of Stock - Backorder </t>
  </si>
  <si>
    <t>USD195.29</t>
  </si>
  <si>
    <t>EAN</t>
  </si>
  <si>
    <t>$51.33</t>
  </si>
  <si>
    <t>$6,904.50</t>
  </si>
  <si>
    <t>$30.19</t>
  </si>
  <si>
    <t>$404.17</t>
  </si>
  <si>
    <t>$139.26</t>
  </si>
  <si>
    <t xml:space="preserve"> $162.47</t>
  </si>
  <si>
    <t>$371.37</t>
  </si>
  <si>
    <t>$357.44</t>
  </si>
  <si>
    <t>$24.76</t>
  </si>
  <si>
    <t>$43.33</t>
  </si>
  <si>
    <t>$252.42</t>
  </si>
  <si>
    <t>$1,651.48</t>
  </si>
  <si>
    <t>CF</t>
  </si>
  <si>
    <t>20-35 дней</t>
  </si>
  <si>
    <t>не найден</t>
  </si>
  <si>
    <t>PRF</t>
  </si>
  <si>
    <t>Цена за ШТ</t>
  </si>
  <si>
    <t>Цена за СУММ</t>
  </si>
  <si>
    <t>- Цена актуальна 20 дней</t>
  </si>
  <si>
    <t>- Цена актуальна, если вы покупаете все товары из списка</t>
  </si>
  <si>
    <t>PP</t>
  </si>
  <si>
    <t>- Если оплачиваете по перечислению +8%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</si>
</sst>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_₽;[Red]#,##0\ _₽"/>
    <numFmt numFmtId="165" formatCode="#,##0.00;[Red]#,##0.00"/>
    <numFmt numFmtId="166" formatCode="#,##0\ [$USD]"/>
    <numFmt numFmtId="167" formatCode="[$$-45C]#,##0.00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8"/>
      <color rgb="FF00B050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20"/>
      <color theme="5" tint="-0.249977111117893"/>
      <name val="Calibri"/>
      <family val="2"/>
      <charset val="204"/>
      <scheme val="minor"/>
    </font>
    <font>
      <sz val="12"/>
      <color theme="5" tint="-0.249977111117893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26"/>
      <color theme="2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B3B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/>
    <xf numFmtId="9" fontId="2" fillId="0" borderId="0" xfId="0" applyNumberFormat="1" applyFo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4" borderId="1" xfId="0" applyFill="1" applyBorder="1"/>
    <xf numFmtId="9" fontId="2" fillId="3" borderId="1" xfId="0" applyNumberFormat="1" applyFont="1" applyFill="1" applyBorder="1"/>
    <xf numFmtId="9" fontId="2" fillId="4" borderId="1" xfId="0" applyNumberFormat="1" applyFon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2" borderId="1" xfId="0" applyFill="1" applyBorder="1"/>
    <xf numFmtId="9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7" borderId="0" xfId="0" applyFont="1" applyFill="1"/>
    <xf numFmtId="0" fontId="7" fillId="3" borderId="0" xfId="0" applyFont="1" applyFill="1"/>
    <xf numFmtId="0" fontId="0" fillId="8" borderId="0" xfId="0" applyFill="1"/>
    <xf numFmtId="0" fontId="0" fillId="9" borderId="0" xfId="0" applyFill="1"/>
    <xf numFmtId="0" fontId="7" fillId="10" borderId="0" xfId="0" applyFont="1" applyFill="1"/>
    <xf numFmtId="0" fontId="7" fillId="11" borderId="0" xfId="0" applyFont="1" applyFill="1"/>
    <xf numFmtId="0" fontId="0" fillId="12" borderId="0" xfId="0" applyFill="1"/>
    <xf numFmtId="0" fontId="7" fillId="12" borderId="0" xfId="0" applyFont="1" applyFill="1"/>
    <xf numFmtId="0" fontId="8" fillId="0" borderId="0" xfId="0" applyFont="1"/>
    <xf numFmtId="0" fontId="2" fillId="0" borderId="0" xfId="0" applyFon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166" fontId="0" fillId="12" borderId="0" xfId="0" applyNumberFormat="1" applyFill="1"/>
    <xf numFmtId="166" fontId="0" fillId="0" borderId="0" xfId="0" applyNumberFormat="1"/>
    <xf numFmtId="166" fontId="0" fillId="13" borderId="0" xfId="0" applyNumberFormat="1" applyFill="1"/>
    <xf numFmtId="166" fontId="0" fillId="14" borderId="0" xfId="0" applyNumberFormat="1" applyFill="1"/>
    <xf numFmtId="166" fontId="0" fillId="15" borderId="0" xfId="0" applyNumberFormat="1" applyFill="1"/>
    <xf numFmtId="166" fontId="0" fillId="16" borderId="0" xfId="0" applyNumberFormat="1" applyFill="1"/>
    <xf numFmtId="166" fontId="0" fillId="17" borderId="0" xfId="0" applyNumberFormat="1" applyFill="1"/>
    <xf numFmtId="166" fontId="0" fillId="18" borderId="0" xfId="0" applyNumberFormat="1" applyFill="1"/>
    <xf numFmtId="166" fontId="0" fillId="19" borderId="0" xfId="0" applyNumberFormat="1" applyFill="1"/>
    <xf numFmtId="167" fontId="9" fillId="12" borderId="0" xfId="0" applyNumberFormat="1" applyFont="1" applyFill="1"/>
    <xf numFmtId="167" fontId="9" fillId="0" borderId="0" xfId="0" applyNumberFormat="1" applyFont="1"/>
    <xf numFmtId="167" fontId="9" fillId="13" borderId="0" xfId="0" applyNumberFormat="1" applyFont="1" applyFill="1"/>
    <xf numFmtId="167" fontId="9" fillId="14" borderId="0" xfId="0" applyNumberFormat="1" applyFont="1" applyFill="1"/>
    <xf numFmtId="167" fontId="9" fillId="15" borderId="0" xfId="0" applyNumberFormat="1" applyFont="1" applyFill="1"/>
    <xf numFmtId="167" fontId="9" fillId="16" borderId="0" xfId="0" applyNumberFormat="1" applyFont="1" applyFill="1"/>
    <xf numFmtId="167" fontId="9" fillId="17" borderId="0" xfId="0" applyNumberFormat="1" applyFont="1" applyFill="1"/>
    <xf numFmtId="167" fontId="9" fillId="18" borderId="0" xfId="0" applyNumberFormat="1" applyFont="1" applyFill="1"/>
    <xf numFmtId="167" fontId="9" fillId="19" borderId="0" xfId="0" applyNumberFormat="1" applyFont="1" applyFill="1"/>
    <xf numFmtId="0" fontId="10" fillId="0" borderId="0" xfId="0" applyFon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13" borderId="1" xfId="0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7" borderId="0" xfId="0" applyFill="1"/>
    <xf numFmtId="0" fontId="0" fillId="7" borderId="1" xfId="0" applyFill="1" applyBorder="1" applyAlignment="1">
      <alignment vertical="top"/>
    </xf>
    <xf numFmtId="0" fontId="0" fillId="4" borderId="0" xfId="0" applyFill="1" applyAlignment="1">
      <alignment vertical="top"/>
    </xf>
    <xf numFmtId="0" fontId="11" fillId="0" borderId="0" xfId="0" applyFont="1"/>
    <xf numFmtId="0" fontId="12" fillId="0" borderId="1" xfId="0" applyFont="1" applyBorder="1" applyAlignment="1">
      <alignment vertical="top"/>
    </xf>
    <xf numFmtId="0" fontId="0" fillId="13" borderId="1" xfId="0" applyFill="1" applyBorder="1"/>
    <xf numFmtId="0" fontId="0" fillId="7" borderId="1" xfId="0" applyFill="1" applyBorder="1"/>
    <xf numFmtId="0" fontId="13" fillId="0" borderId="0" xfId="0" applyFont="1"/>
    <xf numFmtId="0" fontId="0" fillId="16" borderId="1" xfId="0" applyFill="1" applyBorder="1" applyAlignment="1">
      <alignment vertical="top"/>
    </xf>
    <xf numFmtId="0" fontId="0" fillId="16" borderId="1" xfId="0" applyFill="1" applyBorder="1" applyAlignment="1">
      <alignment vertical="top" wrapText="1"/>
    </xf>
    <xf numFmtId="0" fontId="0" fillId="16" borderId="1" xfId="0" applyFill="1" applyBorder="1"/>
    <xf numFmtId="49" fontId="14" fillId="0" borderId="0" xfId="0" applyNumberFormat="1" applyFont="1"/>
    <xf numFmtId="49" fontId="15" fillId="0" borderId="0" xfId="0" applyNumberFormat="1" applyFont="1"/>
    <xf numFmtId="0" fontId="0" fillId="5" borderId="1" xfId="0" applyFill="1" applyBorder="1"/>
    <xf numFmtId="14" fontId="16" fillId="0" borderId="0" xfId="0" applyNumberFormat="1" applyFont="1" applyAlignment="1">
      <alignment horizontal="left"/>
    </xf>
    <xf numFmtId="0" fontId="17" fillId="2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BB3BF"/>
      <color rgb="FFFF99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116</xdr:row>
      <xdr:rowOff>152400</xdr:rowOff>
    </xdr:from>
    <xdr:to>
      <xdr:col>18</xdr:col>
      <xdr:colOff>180325</xdr:colOff>
      <xdr:row>131</xdr:row>
      <xdr:rowOff>132824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338319-1FDC-436E-9756-F08D9B29E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0" y="29175075"/>
          <a:ext cx="5200000" cy="4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136</xdr:row>
      <xdr:rowOff>76201</xdr:rowOff>
    </xdr:from>
    <xdr:to>
      <xdr:col>4</xdr:col>
      <xdr:colOff>1371600</xdr:colOff>
      <xdr:row>136</xdr:row>
      <xdr:rowOff>364903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D1B35-7E50-47BB-9127-50E4F979F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1425" y="34128076"/>
          <a:ext cx="1362075" cy="288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6AED-E9B9-4180-B0AB-70C3E3353656}">
  <dimension ref="B2:AC137"/>
  <sheetViews>
    <sheetView topLeftCell="A112" workbookViewId="0">
      <selection activeCell="G127" sqref="G127"/>
    </sheetView>
  </sheetViews>
  <sheetFormatPr defaultRowHeight="15" x14ac:dyDescent="0.25"/>
  <cols>
    <col min="2" max="2" width="23.140625" customWidth="1"/>
    <col min="3" max="3" width="9.7109375" customWidth="1"/>
    <col min="4" max="4" width="14.5703125" customWidth="1"/>
    <col min="5" max="5" width="20.7109375" customWidth="1"/>
    <col min="6" max="6" width="11.28515625" customWidth="1"/>
    <col min="7" max="7" width="12.85546875" customWidth="1"/>
    <col min="8" max="8" width="13.5703125" customWidth="1"/>
    <col min="9" max="10" width="13.140625" customWidth="1"/>
    <col min="11" max="11" width="10.42578125" bestFit="1" customWidth="1"/>
    <col min="12" max="12" width="10.7109375" customWidth="1"/>
    <col min="13" max="13" width="9.85546875" customWidth="1"/>
    <col min="18" max="18" width="10.140625" customWidth="1"/>
    <col min="19" max="20" width="11.7109375" style="8" customWidth="1"/>
    <col min="21" max="22" width="9.140625" style="9"/>
    <col min="23" max="23" width="6.42578125" style="6" customWidth="1"/>
    <col min="26" max="26" width="11" bestFit="1" customWidth="1"/>
  </cols>
  <sheetData>
    <row r="2" spans="2:29" ht="3.75" customHeight="1" x14ac:dyDescent="0.25"/>
    <row r="3" spans="2:29" ht="30.75" customHeight="1" x14ac:dyDescent="0.25">
      <c r="B3" t="s">
        <v>85</v>
      </c>
    </row>
    <row r="4" spans="2:29" ht="37.5" customHeight="1" x14ac:dyDescent="0.25">
      <c r="S4" s="10"/>
      <c r="T4" s="10" t="s">
        <v>28</v>
      </c>
      <c r="U4" s="11"/>
      <c r="V4" s="11" t="s">
        <v>27</v>
      </c>
    </row>
    <row r="5" spans="2:29" ht="30" x14ac:dyDescent="0.45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S5" s="12">
        <v>0.04</v>
      </c>
      <c r="T5" s="12"/>
      <c r="U5" s="13">
        <v>0.1</v>
      </c>
      <c r="V5" s="13"/>
      <c r="X5" s="5">
        <v>0.05</v>
      </c>
      <c r="Y5" s="5">
        <v>0.1</v>
      </c>
      <c r="Z5" s="5">
        <v>0.08</v>
      </c>
      <c r="AB5" s="12">
        <v>0.06</v>
      </c>
      <c r="AC5" s="12">
        <v>0.12</v>
      </c>
    </row>
    <row r="6" spans="2:29" ht="75" x14ac:dyDescent="0.25">
      <c r="D6" s="3" t="s">
        <v>5</v>
      </c>
      <c r="E6" s="2" t="s">
        <v>6</v>
      </c>
      <c r="F6" s="2" t="s">
        <v>7</v>
      </c>
      <c r="G6" s="2" t="s">
        <v>8</v>
      </c>
      <c r="H6" s="2" t="s">
        <v>9</v>
      </c>
      <c r="L6" s="3" t="s">
        <v>5</v>
      </c>
      <c r="M6" s="2" t="s">
        <v>6</v>
      </c>
      <c r="N6">
        <v>45</v>
      </c>
      <c r="O6">
        <f>N7-N6</f>
        <v>22</v>
      </c>
      <c r="Q6" s="3" t="s">
        <v>5</v>
      </c>
      <c r="R6" s="4">
        <v>5000</v>
      </c>
      <c r="S6" s="14">
        <f>0.04*R6</f>
        <v>200</v>
      </c>
      <c r="T6" s="14">
        <f>S6/40</f>
        <v>5</v>
      </c>
      <c r="U6" s="15">
        <f>0.1*R6</f>
        <v>500</v>
      </c>
      <c r="V6" s="16">
        <f>U6/40</f>
        <v>12.5</v>
      </c>
      <c r="W6" s="7"/>
      <c r="X6" s="4">
        <f>0.05*R6</f>
        <v>250</v>
      </c>
      <c r="Z6">
        <f>0.08*R6</f>
        <v>400</v>
      </c>
      <c r="AB6">
        <f>0.06*R6</f>
        <v>300</v>
      </c>
      <c r="AC6">
        <f>0.12*R6</f>
        <v>600</v>
      </c>
    </row>
    <row r="7" spans="2:29" ht="75" x14ac:dyDescent="0.25">
      <c r="D7" s="3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L7" s="3" t="s">
        <v>10</v>
      </c>
      <c r="M7" s="2" t="s">
        <v>11</v>
      </c>
      <c r="N7">
        <v>67</v>
      </c>
      <c r="O7">
        <f>N8-N7</f>
        <v>23</v>
      </c>
      <c r="Q7" s="3" t="s">
        <v>10</v>
      </c>
      <c r="R7" s="4">
        <v>10000</v>
      </c>
      <c r="S7" s="14">
        <f t="shared" ref="S7:S10" si="0">0.04*R7</f>
        <v>400</v>
      </c>
      <c r="T7" s="14"/>
      <c r="U7" s="15">
        <f t="shared" ref="U7:U10" si="1">0.1*R7</f>
        <v>1000</v>
      </c>
      <c r="V7" s="16"/>
      <c r="W7" s="7"/>
      <c r="X7" s="4">
        <f t="shared" ref="X7:X10" si="2">0.05*R7</f>
        <v>500</v>
      </c>
      <c r="Z7">
        <f t="shared" ref="Z7:Z10" si="3">0.08*R7</f>
        <v>800</v>
      </c>
      <c r="AB7">
        <f t="shared" ref="AB7:AB10" si="4">0.06*R7</f>
        <v>600</v>
      </c>
      <c r="AC7">
        <f t="shared" ref="AC7:AC10" si="5">0.12*R7</f>
        <v>1200</v>
      </c>
    </row>
    <row r="8" spans="2:29" ht="75" x14ac:dyDescent="0.25">
      <c r="D8" s="3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L8" s="3" t="s">
        <v>15</v>
      </c>
      <c r="M8" s="2" t="s">
        <v>16</v>
      </c>
      <c r="N8">
        <v>90</v>
      </c>
      <c r="O8">
        <f>N9-N8</f>
        <v>60</v>
      </c>
      <c r="Q8" s="3" t="s">
        <v>15</v>
      </c>
      <c r="R8" s="4">
        <v>15000</v>
      </c>
      <c r="S8" s="14">
        <f t="shared" si="0"/>
        <v>600</v>
      </c>
      <c r="T8" s="14"/>
      <c r="U8" s="15">
        <f t="shared" si="1"/>
        <v>1500</v>
      </c>
      <c r="V8" s="16"/>
      <c r="W8" s="7"/>
      <c r="X8" s="4">
        <f t="shared" si="2"/>
        <v>750</v>
      </c>
      <c r="Z8">
        <f t="shared" si="3"/>
        <v>1200</v>
      </c>
      <c r="AB8">
        <f t="shared" si="4"/>
        <v>900</v>
      </c>
      <c r="AC8">
        <f t="shared" si="5"/>
        <v>1800</v>
      </c>
    </row>
    <row r="9" spans="2:29" ht="60" x14ac:dyDescent="0.25">
      <c r="D9" s="3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L9" s="3" t="s">
        <v>20</v>
      </c>
      <c r="M9" s="2" t="s">
        <v>21</v>
      </c>
      <c r="N9">
        <v>150</v>
      </c>
      <c r="O9">
        <f>N10-N9</f>
        <v>135</v>
      </c>
      <c r="Q9" s="3" t="s">
        <v>20</v>
      </c>
      <c r="R9" s="4">
        <v>25000</v>
      </c>
      <c r="S9" s="14">
        <f t="shared" si="0"/>
        <v>1000</v>
      </c>
      <c r="T9" s="14"/>
      <c r="U9" s="15">
        <f t="shared" si="1"/>
        <v>2500</v>
      </c>
      <c r="V9" s="16"/>
      <c r="W9" s="7"/>
      <c r="X9" s="4">
        <f t="shared" si="2"/>
        <v>1250</v>
      </c>
      <c r="Z9">
        <f t="shared" si="3"/>
        <v>2000</v>
      </c>
      <c r="AB9">
        <f t="shared" si="4"/>
        <v>1500</v>
      </c>
      <c r="AC9">
        <f t="shared" si="5"/>
        <v>3000</v>
      </c>
    </row>
    <row r="10" spans="2:29" ht="48" customHeight="1" x14ac:dyDescent="0.25">
      <c r="D10" s="3" t="s">
        <v>25</v>
      </c>
      <c r="E10" s="2" t="s">
        <v>26</v>
      </c>
      <c r="L10" s="3" t="s">
        <v>25</v>
      </c>
      <c r="M10" s="2" t="s">
        <v>26</v>
      </c>
      <c r="N10">
        <v>285</v>
      </c>
      <c r="Q10" s="3" t="s">
        <v>25</v>
      </c>
      <c r="R10" s="4">
        <v>50000</v>
      </c>
      <c r="S10" s="14">
        <f t="shared" si="0"/>
        <v>2000</v>
      </c>
      <c r="T10" s="14"/>
      <c r="U10" s="15">
        <f t="shared" si="1"/>
        <v>5000</v>
      </c>
      <c r="V10" s="16"/>
      <c r="W10" s="7"/>
      <c r="X10" s="4">
        <f t="shared" si="2"/>
        <v>2500</v>
      </c>
      <c r="Z10">
        <f t="shared" si="3"/>
        <v>4000</v>
      </c>
      <c r="AB10">
        <f t="shared" si="4"/>
        <v>3000</v>
      </c>
      <c r="AC10">
        <f t="shared" si="5"/>
        <v>6000</v>
      </c>
    </row>
    <row r="11" spans="2:29" x14ac:dyDescent="0.25">
      <c r="S11" s="10"/>
      <c r="T11" s="10"/>
      <c r="U11" s="11"/>
      <c r="V11" s="11"/>
    </row>
    <row r="12" spans="2:29" x14ac:dyDescent="0.25">
      <c r="H12">
        <v>4111.6000000000004</v>
      </c>
      <c r="I12">
        <v>111612</v>
      </c>
      <c r="S12" s="10"/>
      <c r="T12" s="10"/>
      <c r="U12" s="11"/>
      <c r="V12" s="11"/>
    </row>
    <row r="13" spans="2:29" x14ac:dyDescent="0.25">
      <c r="H13">
        <v>4112.5600000000004</v>
      </c>
      <c r="I13">
        <v>111590.9</v>
      </c>
      <c r="S13" s="10"/>
      <c r="T13" s="10"/>
      <c r="U13" s="11"/>
      <c r="V13" s="11"/>
    </row>
    <row r="14" spans="2:29" x14ac:dyDescent="0.25">
      <c r="S14" s="10"/>
      <c r="T14" s="10"/>
      <c r="U14" s="11"/>
      <c r="V14" s="11"/>
    </row>
    <row r="15" spans="2:29" x14ac:dyDescent="0.25">
      <c r="H15">
        <f>H13-H12</f>
        <v>0.96000000000003638</v>
      </c>
      <c r="I15">
        <f>I12-I13</f>
        <v>21.100000000005821</v>
      </c>
      <c r="S15" s="10"/>
      <c r="T15" s="10"/>
      <c r="U15" s="11"/>
      <c r="V15" s="11"/>
    </row>
    <row r="16" spans="2:29" x14ac:dyDescent="0.25">
      <c r="S16" s="10"/>
      <c r="T16" s="10"/>
      <c r="U16" s="11"/>
      <c r="V16" s="11"/>
    </row>
    <row r="17" spans="2:22" x14ac:dyDescent="0.25">
      <c r="S17" s="10"/>
      <c r="T17" s="10"/>
      <c r="U17" s="11"/>
      <c r="V17" s="11"/>
    </row>
    <row r="18" spans="2:22" x14ac:dyDescent="0.25">
      <c r="S18" s="10"/>
      <c r="T18" s="10"/>
      <c r="U18" s="11"/>
      <c r="V18" s="11"/>
    </row>
    <row r="19" spans="2:22" ht="24.75" customHeight="1" x14ac:dyDescent="0.25">
      <c r="E19" t="s">
        <v>29</v>
      </c>
    </row>
    <row r="20" spans="2:22" ht="21" customHeight="1" x14ac:dyDescent="0.25">
      <c r="E20" s="17">
        <v>5000</v>
      </c>
    </row>
    <row r="21" spans="2:22" x14ac:dyDescent="0.25">
      <c r="E21" t="s">
        <v>27</v>
      </c>
      <c r="F21" t="s">
        <v>30</v>
      </c>
      <c r="H21" t="s">
        <v>30</v>
      </c>
    </row>
    <row r="22" spans="2:22" x14ac:dyDescent="0.25">
      <c r="B22">
        <f>E20</f>
        <v>5000</v>
      </c>
      <c r="D22">
        <v>1</v>
      </c>
      <c r="E22">
        <f>E20/40</f>
        <v>125</v>
      </c>
      <c r="F22">
        <f>E22*2</f>
        <v>250</v>
      </c>
      <c r="G22">
        <f>E22+F22</f>
        <v>375</v>
      </c>
      <c r="H22">
        <f>G22*2</f>
        <v>750</v>
      </c>
      <c r="I22">
        <f>H22</f>
        <v>750</v>
      </c>
    </row>
    <row r="23" spans="2:22" x14ac:dyDescent="0.25">
      <c r="D23">
        <v>2</v>
      </c>
      <c r="E23">
        <f>E22</f>
        <v>125</v>
      </c>
      <c r="F23">
        <f t="shared" ref="F23:F61" si="6">E23*2</f>
        <v>250</v>
      </c>
      <c r="G23">
        <f t="shared" ref="G23:G61" si="7">E23+F23</f>
        <v>375</v>
      </c>
      <c r="H23">
        <f t="shared" ref="H23:H61" si="8">G23*2</f>
        <v>750</v>
      </c>
      <c r="I23">
        <f t="shared" ref="I23:I28" si="9">H23</f>
        <v>750</v>
      </c>
    </row>
    <row r="24" spans="2:22" x14ac:dyDescent="0.25">
      <c r="D24">
        <v>3</v>
      </c>
      <c r="E24">
        <f t="shared" ref="E24:E61" si="10">E23</f>
        <v>125</v>
      </c>
      <c r="F24">
        <f t="shared" si="6"/>
        <v>250</v>
      </c>
      <c r="G24">
        <f t="shared" si="7"/>
        <v>375</v>
      </c>
      <c r="H24">
        <f t="shared" si="8"/>
        <v>750</v>
      </c>
      <c r="I24">
        <f t="shared" si="9"/>
        <v>750</v>
      </c>
    </row>
    <row r="25" spans="2:22" x14ac:dyDescent="0.25">
      <c r="D25">
        <v>4</v>
      </c>
      <c r="E25">
        <f t="shared" si="10"/>
        <v>125</v>
      </c>
      <c r="F25">
        <f t="shared" si="6"/>
        <v>250</v>
      </c>
      <c r="G25">
        <f t="shared" si="7"/>
        <v>375</v>
      </c>
      <c r="H25">
        <f t="shared" si="8"/>
        <v>750</v>
      </c>
      <c r="I25">
        <f t="shared" si="9"/>
        <v>750</v>
      </c>
    </row>
    <row r="26" spans="2:22" x14ac:dyDescent="0.25">
      <c r="D26">
        <v>5</v>
      </c>
      <c r="E26">
        <f t="shared" si="10"/>
        <v>125</v>
      </c>
      <c r="F26">
        <f t="shared" si="6"/>
        <v>250</v>
      </c>
      <c r="G26">
        <f t="shared" si="7"/>
        <v>375</v>
      </c>
      <c r="H26">
        <f t="shared" si="8"/>
        <v>750</v>
      </c>
      <c r="I26">
        <f t="shared" si="9"/>
        <v>750</v>
      </c>
    </row>
    <row r="27" spans="2:22" x14ac:dyDescent="0.25">
      <c r="D27">
        <v>6</v>
      </c>
      <c r="E27">
        <f t="shared" si="10"/>
        <v>125</v>
      </c>
      <c r="F27">
        <f t="shared" si="6"/>
        <v>250</v>
      </c>
      <c r="G27">
        <f t="shared" si="7"/>
        <v>375</v>
      </c>
      <c r="H27">
        <f t="shared" si="8"/>
        <v>750</v>
      </c>
      <c r="I27">
        <f t="shared" si="9"/>
        <v>750</v>
      </c>
    </row>
    <row r="28" spans="2:22" x14ac:dyDescent="0.25">
      <c r="D28">
        <v>7</v>
      </c>
      <c r="E28">
        <f t="shared" si="10"/>
        <v>125</v>
      </c>
      <c r="F28">
        <f t="shared" si="6"/>
        <v>250</v>
      </c>
      <c r="G28">
        <f t="shared" si="7"/>
        <v>375</v>
      </c>
      <c r="H28">
        <f t="shared" si="8"/>
        <v>750</v>
      </c>
      <c r="I28">
        <f t="shared" si="9"/>
        <v>750</v>
      </c>
    </row>
    <row r="29" spans="2:22" x14ac:dyDescent="0.25">
      <c r="D29">
        <v>8</v>
      </c>
      <c r="E29">
        <f t="shared" si="10"/>
        <v>125</v>
      </c>
      <c r="F29">
        <f t="shared" si="6"/>
        <v>250</v>
      </c>
      <c r="G29">
        <f t="shared" si="7"/>
        <v>375</v>
      </c>
      <c r="H29">
        <f t="shared" si="8"/>
        <v>750</v>
      </c>
    </row>
    <row r="30" spans="2:22" x14ac:dyDescent="0.25">
      <c r="D30">
        <v>9</v>
      </c>
      <c r="E30">
        <f t="shared" si="10"/>
        <v>125</v>
      </c>
      <c r="F30">
        <f t="shared" si="6"/>
        <v>250</v>
      </c>
      <c r="G30">
        <f t="shared" si="7"/>
        <v>375</v>
      </c>
      <c r="H30">
        <f t="shared" si="8"/>
        <v>750</v>
      </c>
    </row>
    <row r="31" spans="2:22" s="18" customFormat="1" x14ac:dyDescent="0.25">
      <c r="D31" s="18">
        <v>10</v>
      </c>
      <c r="E31" s="18">
        <f t="shared" si="10"/>
        <v>125</v>
      </c>
      <c r="F31" s="18">
        <f t="shared" si="6"/>
        <v>250</v>
      </c>
      <c r="G31" s="18">
        <f t="shared" si="7"/>
        <v>375</v>
      </c>
      <c r="H31" s="18">
        <f t="shared" si="8"/>
        <v>750</v>
      </c>
    </row>
    <row r="32" spans="2:22" x14ac:dyDescent="0.25">
      <c r="D32">
        <v>11</v>
      </c>
      <c r="E32">
        <f t="shared" si="10"/>
        <v>125</v>
      </c>
      <c r="F32">
        <f t="shared" si="6"/>
        <v>250</v>
      </c>
      <c r="G32">
        <f t="shared" si="7"/>
        <v>375</v>
      </c>
      <c r="H32">
        <f t="shared" si="8"/>
        <v>750</v>
      </c>
    </row>
    <row r="33" spans="4:8" x14ac:dyDescent="0.25">
      <c r="D33">
        <v>12</v>
      </c>
      <c r="E33">
        <f t="shared" si="10"/>
        <v>125</v>
      </c>
      <c r="F33">
        <f t="shared" si="6"/>
        <v>250</v>
      </c>
      <c r="G33">
        <f t="shared" si="7"/>
        <v>375</v>
      </c>
      <c r="H33">
        <f t="shared" si="8"/>
        <v>750</v>
      </c>
    </row>
    <row r="34" spans="4:8" x14ac:dyDescent="0.25">
      <c r="D34">
        <v>13</v>
      </c>
      <c r="E34">
        <f t="shared" si="10"/>
        <v>125</v>
      </c>
      <c r="F34">
        <f t="shared" si="6"/>
        <v>250</v>
      </c>
      <c r="G34">
        <f t="shared" si="7"/>
        <v>375</v>
      </c>
      <c r="H34">
        <f t="shared" si="8"/>
        <v>750</v>
      </c>
    </row>
    <row r="35" spans="4:8" x14ac:dyDescent="0.25">
      <c r="D35">
        <v>14</v>
      </c>
      <c r="E35">
        <f t="shared" si="10"/>
        <v>125</v>
      </c>
      <c r="F35">
        <f t="shared" si="6"/>
        <v>250</v>
      </c>
      <c r="G35">
        <f t="shared" si="7"/>
        <v>375</v>
      </c>
      <c r="H35">
        <f t="shared" si="8"/>
        <v>750</v>
      </c>
    </row>
    <row r="36" spans="4:8" x14ac:dyDescent="0.25">
      <c r="D36">
        <v>15</v>
      </c>
      <c r="E36">
        <f t="shared" si="10"/>
        <v>125</v>
      </c>
      <c r="F36">
        <f t="shared" si="6"/>
        <v>250</v>
      </c>
      <c r="G36">
        <f t="shared" si="7"/>
        <v>375</v>
      </c>
      <c r="H36">
        <f t="shared" si="8"/>
        <v>750</v>
      </c>
    </row>
    <row r="37" spans="4:8" x14ac:dyDescent="0.25">
      <c r="D37">
        <v>16</v>
      </c>
      <c r="E37">
        <f t="shared" si="10"/>
        <v>125</v>
      </c>
      <c r="F37">
        <f t="shared" si="6"/>
        <v>250</v>
      </c>
      <c r="G37">
        <f t="shared" si="7"/>
        <v>375</v>
      </c>
      <c r="H37">
        <f t="shared" si="8"/>
        <v>750</v>
      </c>
    </row>
    <row r="38" spans="4:8" x14ac:dyDescent="0.25">
      <c r="D38">
        <v>17</v>
      </c>
      <c r="E38">
        <f t="shared" si="10"/>
        <v>125</v>
      </c>
      <c r="F38">
        <f t="shared" si="6"/>
        <v>250</v>
      </c>
      <c r="G38">
        <f t="shared" si="7"/>
        <v>375</v>
      </c>
      <c r="H38">
        <f t="shared" si="8"/>
        <v>750</v>
      </c>
    </row>
    <row r="39" spans="4:8" x14ac:dyDescent="0.25">
      <c r="D39">
        <v>18</v>
      </c>
      <c r="E39">
        <f t="shared" si="10"/>
        <v>125</v>
      </c>
      <c r="F39">
        <f t="shared" si="6"/>
        <v>250</v>
      </c>
      <c r="G39">
        <f t="shared" si="7"/>
        <v>375</v>
      </c>
      <c r="H39">
        <f t="shared" si="8"/>
        <v>750</v>
      </c>
    </row>
    <row r="40" spans="4:8" x14ac:dyDescent="0.25">
      <c r="D40">
        <v>19</v>
      </c>
      <c r="E40">
        <f t="shared" si="10"/>
        <v>125</v>
      </c>
      <c r="F40">
        <f t="shared" si="6"/>
        <v>250</v>
      </c>
      <c r="G40">
        <f t="shared" si="7"/>
        <v>375</v>
      </c>
      <c r="H40">
        <f t="shared" si="8"/>
        <v>750</v>
      </c>
    </row>
    <row r="41" spans="4:8" s="18" customFormat="1" x14ac:dyDescent="0.25">
      <c r="D41" s="18">
        <v>20</v>
      </c>
      <c r="E41" s="18">
        <f t="shared" si="10"/>
        <v>125</v>
      </c>
      <c r="F41" s="18">
        <f t="shared" si="6"/>
        <v>250</v>
      </c>
      <c r="G41" s="18">
        <f t="shared" si="7"/>
        <v>375</v>
      </c>
      <c r="H41" s="18">
        <f t="shared" si="8"/>
        <v>750</v>
      </c>
    </row>
    <row r="42" spans="4:8" x14ac:dyDescent="0.25">
      <c r="D42">
        <v>21</v>
      </c>
      <c r="E42">
        <f t="shared" si="10"/>
        <v>125</v>
      </c>
      <c r="F42">
        <f t="shared" si="6"/>
        <v>250</v>
      </c>
      <c r="G42">
        <f t="shared" si="7"/>
        <v>375</v>
      </c>
      <c r="H42">
        <f t="shared" si="8"/>
        <v>750</v>
      </c>
    </row>
    <row r="43" spans="4:8" x14ac:dyDescent="0.25">
      <c r="D43">
        <v>22</v>
      </c>
      <c r="E43">
        <f>E42</f>
        <v>125</v>
      </c>
      <c r="F43">
        <f t="shared" si="6"/>
        <v>250</v>
      </c>
      <c r="G43">
        <f t="shared" si="7"/>
        <v>375</v>
      </c>
      <c r="H43">
        <f t="shared" si="8"/>
        <v>750</v>
      </c>
    </row>
    <row r="44" spans="4:8" x14ac:dyDescent="0.25">
      <c r="D44">
        <v>23</v>
      </c>
      <c r="E44">
        <f t="shared" si="10"/>
        <v>125</v>
      </c>
      <c r="F44">
        <f t="shared" si="6"/>
        <v>250</v>
      </c>
      <c r="G44">
        <f t="shared" si="7"/>
        <v>375</v>
      </c>
      <c r="H44">
        <f t="shared" si="8"/>
        <v>750</v>
      </c>
    </row>
    <row r="45" spans="4:8" x14ac:dyDescent="0.25">
      <c r="D45">
        <v>24</v>
      </c>
      <c r="E45">
        <f t="shared" si="10"/>
        <v>125</v>
      </c>
      <c r="F45">
        <f t="shared" si="6"/>
        <v>250</v>
      </c>
      <c r="G45">
        <f t="shared" si="7"/>
        <v>375</v>
      </c>
      <c r="H45">
        <f t="shared" si="8"/>
        <v>750</v>
      </c>
    </row>
    <row r="46" spans="4:8" x14ac:dyDescent="0.25">
      <c r="D46">
        <v>25</v>
      </c>
      <c r="E46">
        <f t="shared" si="10"/>
        <v>125</v>
      </c>
      <c r="F46">
        <f t="shared" si="6"/>
        <v>250</v>
      </c>
      <c r="G46">
        <f t="shared" si="7"/>
        <v>375</v>
      </c>
      <c r="H46">
        <f t="shared" si="8"/>
        <v>750</v>
      </c>
    </row>
    <row r="47" spans="4:8" x14ac:dyDescent="0.25">
      <c r="D47">
        <v>26</v>
      </c>
      <c r="E47">
        <f t="shared" si="10"/>
        <v>125</v>
      </c>
      <c r="F47">
        <f t="shared" si="6"/>
        <v>250</v>
      </c>
      <c r="G47">
        <f t="shared" si="7"/>
        <v>375</v>
      </c>
      <c r="H47">
        <f t="shared" si="8"/>
        <v>750</v>
      </c>
    </row>
    <row r="48" spans="4:8" x14ac:dyDescent="0.25">
      <c r="D48">
        <v>27</v>
      </c>
      <c r="E48">
        <f t="shared" si="10"/>
        <v>125</v>
      </c>
      <c r="F48">
        <f t="shared" si="6"/>
        <v>250</v>
      </c>
      <c r="G48">
        <f t="shared" si="7"/>
        <v>375</v>
      </c>
      <c r="H48">
        <f t="shared" si="8"/>
        <v>750</v>
      </c>
    </row>
    <row r="49" spans="4:9" x14ac:dyDescent="0.25">
      <c r="D49">
        <v>28</v>
      </c>
      <c r="E49">
        <f t="shared" si="10"/>
        <v>125</v>
      </c>
      <c r="F49">
        <f t="shared" si="6"/>
        <v>250</v>
      </c>
      <c r="G49">
        <f t="shared" si="7"/>
        <v>375</v>
      </c>
      <c r="H49">
        <f t="shared" si="8"/>
        <v>750</v>
      </c>
    </row>
    <row r="50" spans="4:9" x14ac:dyDescent="0.25">
      <c r="D50">
        <v>29</v>
      </c>
      <c r="E50">
        <f t="shared" si="10"/>
        <v>125</v>
      </c>
      <c r="F50">
        <f t="shared" si="6"/>
        <v>250</v>
      </c>
      <c r="G50">
        <f t="shared" si="7"/>
        <v>375</v>
      </c>
      <c r="H50">
        <f t="shared" si="8"/>
        <v>750</v>
      </c>
    </row>
    <row r="51" spans="4:9" s="18" customFormat="1" x14ac:dyDescent="0.25">
      <c r="D51" s="18">
        <v>30</v>
      </c>
      <c r="E51" s="18">
        <f t="shared" si="10"/>
        <v>125</v>
      </c>
      <c r="F51" s="18">
        <f t="shared" si="6"/>
        <v>250</v>
      </c>
      <c r="G51" s="18">
        <f t="shared" si="7"/>
        <v>375</v>
      </c>
      <c r="H51" s="18">
        <f t="shared" si="8"/>
        <v>750</v>
      </c>
    </row>
    <row r="52" spans="4:9" x14ac:dyDescent="0.25">
      <c r="D52">
        <v>31</v>
      </c>
      <c r="E52">
        <f t="shared" si="10"/>
        <v>125</v>
      </c>
      <c r="F52">
        <f t="shared" si="6"/>
        <v>250</v>
      </c>
      <c r="G52">
        <f t="shared" si="7"/>
        <v>375</v>
      </c>
      <c r="H52">
        <f t="shared" si="8"/>
        <v>750</v>
      </c>
    </row>
    <row r="53" spans="4:9" x14ac:dyDescent="0.25">
      <c r="D53">
        <v>32</v>
      </c>
      <c r="E53">
        <f t="shared" si="10"/>
        <v>125</v>
      </c>
      <c r="F53">
        <f t="shared" si="6"/>
        <v>250</v>
      </c>
      <c r="G53">
        <f t="shared" si="7"/>
        <v>375</v>
      </c>
      <c r="H53">
        <f t="shared" si="8"/>
        <v>750</v>
      </c>
    </row>
    <row r="54" spans="4:9" x14ac:dyDescent="0.25">
      <c r="D54">
        <v>33</v>
      </c>
      <c r="E54">
        <f t="shared" si="10"/>
        <v>125</v>
      </c>
      <c r="F54">
        <f t="shared" si="6"/>
        <v>250</v>
      </c>
      <c r="G54">
        <f t="shared" si="7"/>
        <v>375</v>
      </c>
      <c r="H54">
        <f t="shared" si="8"/>
        <v>750</v>
      </c>
    </row>
    <row r="55" spans="4:9" x14ac:dyDescent="0.25">
      <c r="D55">
        <v>34</v>
      </c>
      <c r="E55">
        <f t="shared" si="10"/>
        <v>125</v>
      </c>
      <c r="F55">
        <f t="shared" si="6"/>
        <v>250</v>
      </c>
      <c r="G55">
        <f t="shared" si="7"/>
        <v>375</v>
      </c>
      <c r="H55">
        <f t="shared" si="8"/>
        <v>750</v>
      </c>
    </row>
    <row r="56" spans="4:9" x14ac:dyDescent="0.25">
      <c r="D56">
        <v>35</v>
      </c>
      <c r="E56">
        <f t="shared" si="10"/>
        <v>125</v>
      </c>
      <c r="F56">
        <f t="shared" si="6"/>
        <v>250</v>
      </c>
      <c r="G56">
        <f t="shared" si="7"/>
        <v>375</v>
      </c>
      <c r="H56">
        <f t="shared" si="8"/>
        <v>750</v>
      </c>
    </row>
    <row r="57" spans="4:9" x14ac:dyDescent="0.25">
      <c r="D57">
        <v>36</v>
      </c>
      <c r="E57">
        <f t="shared" si="10"/>
        <v>125</v>
      </c>
      <c r="F57">
        <f t="shared" si="6"/>
        <v>250</v>
      </c>
      <c r="G57">
        <f t="shared" si="7"/>
        <v>375</v>
      </c>
      <c r="H57">
        <f t="shared" si="8"/>
        <v>750</v>
      </c>
    </row>
    <row r="58" spans="4:9" x14ac:dyDescent="0.25">
      <c r="D58">
        <v>37</v>
      </c>
      <c r="E58">
        <f t="shared" si="10"/>
        <v>125</v>
      </c>
      <c r="F58">
        <f t="shared" si="6"/>
        <v>250</v>
      </c>
      <c r="G58">
        <f t="shared" si="7"/>
        <v>375</v>
      </c>
      <c r="H58">
        <f t="shared" si="8"/>
        <v>750</v>
      </c>
    </row>
    <row r="59" spans="4:9" x14ac:dyDescent="0.25">
      <c r="D59">
        <v>38</v>
      </c>
      <c r="E59">
        <f t="shared" si="10"/>
        <v>125</v>
      </c>
      <c r="F59">
        <f t="shared" si="6"/>
        <v>250</v>
      </c>
      <c r="G59">
        <f t="shared" si="7"/>
        <v>375</v>
      </c>
      <c r="H59">
        <f t="shared" si="8"/>
        <v>750</v>
      </c>
    </row>
    <row r="60" spans="4:9" x14ac:dyDescent="0.25">
      <c r="D60">
        <v>39</v>
      </c>
      <c r="E60">
        <f t="shared" si="10"/>
        <v>125</v>
      </c>
      <c r="F60">
        <f t="shared" si="6"/>
        <v>250</v>
      </c>
      <c r="G60">
        <f t="shared" si="7"/>
        <v>375</v>
      </c>
      <c r="H60">
        <f t="shared" si="8"/>
        <v>750</v>
      </c>
    </row>
    <row r="61" spans="4:9" x14ac:dyDescent="0.25">
      <c r="D61">
        <v>40</v>
      </c>
      <c r="E61">
        <f t="shared" si="10"/>
        <v>125</v>
      </c>
      <c r="F61">
        <f t="shared" si="6"/>
        <v>250</v>
      </c>
      <c r="G61">
        <f t="shared" si="7"/>
        <v>375</v>
      </c>
      <c r="H61">
        <f t="shared" si="8"/>
        <v>750</v>
      </c>
    </row>
    <row r="62" spans="4:9" ht="9.75" customHeight="1" x14ac:dyDescent="0.25"/>
    <row r="63" spans="4:9" ht="32.25" customHeight="1" x14ac:dyDescent="0.25">
      <c r="I63">
        <f>SUM(I22:I62)</f>
        <v>5250</v>
      </c>
    </row>
    <row r="67" spans="2:27" ht="56.25" customHeight="1" x14ac:dyDescent="0.55000000000000004">
      <c r="B67" s="27" t="s">
        <v>36</v>
      </c>
      <c r="C67" s="19" t="s">
        <v>41</v>
      </c>
      <c r="D67" s="20" t="s">
        <v>34</v>
      </c>
      <c r="E67" s="19" t="s">
        <v>31</v>
      </c>
      <c r="F67" s="30" t="s">
        <v>72</v>
      </c>
      <c r="G67" s="30" t="s">
        <v>71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0"/>
      <c r="T67" s="10"/>
      <c r="U67" s="11"/>
      <c r="V67" s="11"/>
      <c r="W67" s="20"/>
      <c r="X67" s="19"/>
      <c r="Y67" s="19"/>
      <c r="Z67" s="19"/>
      <c r="AA67" s="19"/>
    </row>
    <row r="68" spans="2:27" x14ac:dyDescent="0.25">
      <c r="B68" s="19" t="s">
        <v>39</v>
      </c>
      <c r="C68" s="19">
        <v>5000</v>
      </c>
      <c r="D68" s="19" t="s">
        <v>56</v>
      </c>
      <c r="E68" s="19"/>
      <c r="F68" s="19">
        <f>0.03*C68</f>
        <v>150</v>
      </c>
      <c r="G68" s="19">
        <f>0.06*C68</f>
        <v>300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0"/>
      <c r="T68" s="10"/>
      <c r="U68" s="11"/>
      <c r="V68" s="11"/>
      <c r="W68" s="20"/>
      <c r="X68" s="19"/>
      <c r="Y68" s="19"/>
      <c r="Z68" s="19"/>
      <c r="AA68" s="19"/>
    </row>
    <row r="69" spans="2:27" x14ac:dyDescent="0.25">
      <c r="B69" s="19" t="s">
        <v>40</v>
      </c>
      <c r="C69" s="19">
        <v>10000</v>
      </c>
      <c r="D69" s="19" t="s">
        <v>57</v>
      </c>
      <c r="E69" s="19"/>
      <c r="F69" s="19">
        <f>0.03*C69</f>
        <v>300</v>
      </c>
      <c r="G69" s="19">
        <f>0.06*C69</f>
        <v>600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0"/>
      <c r="T69" s="10"/>
      <c r="U69" s="11"/>
      <c r="V69" s="11"/>
      <c r="W69" s="20"/>
      <c r="X69" s="19"/>
      <c r="Y69" s="19"/>
      <c r="Z69" s="19"/>
      <c r="AA69" s="19"/>
    </row>
    <row r="70" spans="2:27" ht="24" customHeight="1" x14ac:dyDescent="0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0"/>
      <c r="T70" s="10"/>
      <c r="U70" s="11"/>
      <c r="V70" s="11"/>
      <c r="W70" s="20"/>
      <c r="X70" s="19"/>
      <c r="Y70" s="19"/>
      <c r="Z70" s="19"/>
      <c r="AA70" s="19"/>
    </row>
    <row r="71" spans="2:27" s="22" customFormat="1" ht="52.5" customHeight="1" x14ac:dyDescent="0.25">
      <c r="B71" s="23"/>
      <c r="C71" s="23"/>
      <c r="D71" s="23"/>
      <c r="E71" s="23"/>
      <c r="F71" s="23"/>
      <c r="G71" s="23"/>
      <c r="H71" s="28" t="s">
        <v>32</v>
      </c>
      <c r="I71" s="28" t="s">
        <v>33</v>
      </c>
      <c r="J71" s="28" t="s">
        <v>35</v>
      </c>
      <c r="K71" s="29" t="s">
        <v>37</v>
      </c>
      <c r="L71" s="29" t="s">
        <v>38</v>
      </c>
      <c r="M71" s="23"/>
      <c r="N71" s="23"/>
      <c r="O71" s="23"/>
      <c r="P71" s="23"/>
      <c r="Q71" s="23"/>
      <c r="R71" s="23"/>
      <c r="S71" s="24"/>
      <c r="T71" s="24"/>
      <c r="U71" s="25"/>
      <c r="V71" s="25"/>
      <c r="W71" s="26"/>
      <c r="X71" s="23"/>
      <c r="Y71" s="23"/>
      <c r="Z71" s="23"/>
      <c r="AA71" s="23"/>
    </row>
    <row r="72" spans="2:27" x14ac:dyDescent="0.25">
      <c r="B72" s="19" t="s">
        <v>42</v>
      </c>
      <c r="C72" s="19">
        <v>5000</v>
      </c>
      <c r="D72" s="19" t="s">
        <v>58</v>
      </c>
      <c r="E72" s="19"/>
      <c r="F72" s="19"/>
      <c r="G72" s="19"/>
      <c r="H72" s="21">
        <v>0.08</v>
      </c>
      <c r="I72" s="21">
        <v>0.04</v>
      </c>
      <c r="J72" s="21"/>
      <c r="K72" s="21">
        <v>0.04</v>
      </c>
      <c r="L72" s="21">
        <v>0.1</v>
      </c>
      <c r="M72" s="19"/>
      <c r="N72" s="19"/>
      <c r="O72" s="19"/>
      <c r="P72" s="19"/>
      <c r="Q72" s="19"/>
      <c r="R72" s="19"/>
      <c r="S72" s="10"/>
      <c r="T72" s="10"/>
      <c r="U72" s="11"/>
      <c r="V72" s="11"/>
      <c r="W72" s="20"/>
      <c r="X72" s="19"/>
      <c r="Y72" s="19"/>
      <c r="Z72" s="19"/>
      <c r="AA72" s="19"/>
    </row>
    <row r="73" spans="2:27" x14ac:dyDescent="0.25">
      <c r="B73" s="19" t="s">
        <v>43</v>
      </c>
      <c r="C73" s="19">
        <v>8000</v>
      </c>
      <c r="D73" s="19" t="s">
        <v>59</v>
      </c>
      <c r="E73" s="19"/>
      <c r="F73" s="19"/>
      <c r="G73" s="19"/>
      <c r="H73" s="21">
        <v>0.08</v>
      </c>
      <c r="I73" s="21">
        <v>0.04</v>
      </c>
      <c r="J73" s="21"/>
      <c r="K73" s="21">
        <v>0.04</v>
      </c>
      <c r="L73" s="21">
        <v>0.1</v>
      </c>
      <c r="M73" s="19"/>
      <c r="N73" s="19"/>
      <c r="O73" s="19"/>
      <c r="P73" s="19"/>
      <c r="Q73" s="19"/>
      <c r="R73" s="19"/>
      <c r="S73" s="10"/>
      <c r="T73" s="10"/>
      <c r="U73" s="11"/>
      <c r="V73" s="11"/>
      <c r="W73" s="20"/>
      <c r="X73" s="19"/>
      <c r="Y73" s="19"/>
      <c r="Z73" s="19"/>
      <c r="AA73" s="19"/>
    </row>
    <row r="74" spans="2:27" x14ac:dyDescent="0.25">
      <c r="B74" s="19" t="s">
        <v>44</v>
      </c>
      <c r="C74" s="19">
        <v>15000</v>
      </c>
      <c r="D74" s="19" t="s">
        <v>60</v>
      </c>
      <c r="E74" s="19"/>
      <c r="F74" s="19"/>
      <c r="G74" s="19"/>
      <c r="H74" s="21">
        <v>0.08</v>
      </c>
      <c r="I74" s="21">
        <v>0.04</v>
      </c>
      <c r="J74" s="21"/>
      <c r="K74" s="21">
        <v>0.04</v>
      </c>
      <c r="L74" s="21">
        <v>0.1</v>
      </c>
      <c r="M74" s="19"/>
      <c r="N74" s="19"/>
      <c r="O74" s="19"/>
      <c r="P74" s="19"/>
      <c r="Q74" s="19"/>
      <c r="R74" s="19"/>
      <c r="S74" s="10"/>
      <c r="T74" s="10"/>
      <c r="U74" s="11"/>
      <c r="V74" s="11"/>
      <c r="W74" s="20"/>
      <c r="X74" s="19"/>
      <c r="Y74" s="19"/>
      <c r="Z74" s="19"/>
      <c r="AA74" s="19"/>
    </row>
    <row r="75" spans="2:27" x14ac:dyDescent="0.25">
      <c r="B75" s="19" t="s">
        <v>45</v>
      </c>
      <c r="C75" s="19">
        <v>25000</v>
      </c>
      <c r="D75" s="19" t="s">
        <v>61</v>
      </c>
      <c r="E75" s="19"/>
      <c r="F75" s="19"/>
      <c r="G75" s="19"/>
      <c r="H75" s="21">
        <v>0.08</v>
      </c>
      <c r="I75" s="21">
        <v>0.04</v>
      </c>
      <c r="J75" s="21"/>
      <c r="K75" s="21">
        <v>0.04</v>
      </c>
      <c r="L75" s="21">
        <v>0.1</v>
      </c>
      <c r="M75" s="19"/>
      <c r="N75" s="19"/>
      <c r="O75" s="19"/>
      <c r="P75" s="19"/>
      <c r="Q75" s="19"/>
      <c r="R75" s="19"/>
      <c r="S75" s="10"/>
      <c r="T75" s="10"/>
      <c r="U75" s="11"/>
      <c r="V75" s="11"/>
      <c r="W75" s="20"/>
      <c r="X75" s="19"/>
      <c r="Y75" s="19"/>
      <c r="Z75" s="19"/>
      <c r="AA75" s="19"/>
    </row>
    <row r="76" spans="2:27" x14ac:dyDescent="0.25">
      <c r="B76" s="19" t="s">
        <v>46</v>
      </c>
      <c r="C76" s="19">
        <v>50000</v>
      </c>
      <c r="D76" s="19" t="s">
        <v>62</v>
      </c>
      <c r="E76" s="19"/>
      <c r="F76" s="19"/>
      <c r="G76" s="19"/>
      <c r="H76" s="21">
        <v>0.08</v>
      </c>
      <c r="I76" s="21">
        <v>0.04</v>
      </c>
      <c r="J76" s="21"/>
      <c r="K76" s="21">
        <v>0.04</v>
      </c>
      <c r="L76" s="21">
        <v>0.1</v>
      </c>
      <c r="M76" s="19"/>
      <c r="N76" s="19"/>
      <c r="O76" s="19"/>
      <c r="P76" s="19"/>
      <c r="Q76" s="19"/>
      <c r="R76" s="19"/>
      <c r="S76" s="10"/>
      <c r="T76" s="10"/>
      <c r="U76" s="11"/>
      <c r="V76" s="11"/>
      <c r="W76" s="20"/>
      <c r="X76" s="19"/>
      <c r="Y76" s="19"/>
      <c r="Z76" s="19"/>
      <c r="AA76" s="19"/>
    </row>
    <row r="77" spans="2:27" x14ac:dyDescent="0.25">
      <c r="B77" s="19"/>
      <c r="C77" s="19"/>
      <c r="D77" s="19"/>
      <c r="E77" s="19"/>
      <c r="F77" s="19"/>
      <c r="G77" s="19"/>
      <c r="H77" s="21"/>
      <c r="I77" s="21"/>
      <c r="J77" s="21"/>
      <c r="K77" s="21"/>
      <c r="L77" s="21"/>
      <c r="M77" s="19"/>
      <c r="N77" s="19"/>
      <c r="O77" s="19"/>
      <c r="P77" s="19"/>
      <c r="Q77" s="19"/>
      <c r="R77" s="19"/>
      <c r="S77" s="10"/>
      <c r="T77" s="10"/>
      <c r="U77" s="11"/>
      <c r="V77" s="11"/>
      <c r="W77" s="20"/>
      <c r="X77" s="19"/>
      <c r="Y77" s="19"/>
      <c r="Z77" s="19"/>
      <c r="AA77" s="19"/>
    </row>
    <row r="78" spans="2:27" x14ac:dyDescent="0.25">
      <c r="B78" s="19" t="s">
        <v>47</v>
      </c>
      <c r="C78" s="19">
        <v>5000</v>
      </c>
      <c r="D78" s="19" t="s">
        <v>58</v>
      </c>
      <c r="E78" s="19"/>
      <c r="F78" s="19"/>
      <c r="G78" s="19"/>
      <c r="H78" s="21">
        <v>0.1</v>
      </c>
      <c r="I78" s="21">
        <v>0.05</v>
      </c>
      <c r="J78" s="21"/>
      <c r="K78" s="21">
        <v>0.05</v>
      </c>
      <c r="L78" s="21">
        <v>0.1</v>
      </c>
      <c r="M78" s="19"/>
      <c r="N78" s="19"/>
      <c r="O78" s="19"/>
      <c r="P78" s="19"/>
      <c r="Q78" s="19"/>
      <c r="R78" s="19"/>
      <c r="S78" s="10"/>
      <c r="T78" s="10"/>
      <c r="U78" s="11"/>
      <c r="V78" s="11"/>
      <c r="W78" s="20"/>
      <c r="X78" s="19"/>
      <c r="Y78" s="19"/>
      <c r="Z78" s="19"/>
      <c r="AA78" s="19"/>
    </row>
    <row r="79" spans="2:27" x14ac:dyDescent="0.25">
      <c r="B79" s="19" t="s">
        <v>48</v>
      </c>
      <c r="C79" s="19">
        <v>8000</v>
      </c>
      <c r="D79" s="19" t="s">
        <v>63</v>
      </c>
      <c r="E79" s="19"/>
      <c r="F79" s="19"/>
      <c r="G79" s="19"/>
      <c r="H79" s="21">
        <v>0.1</v>
      </c>
      <c r="I79" s="21">
        <v>0.05</v>
      </c>
      <c r="J79" s="21"/>
      <c r="K79" s="21">
        <v>0.05</v>
      </c>
      <c r="L79" s="21">
        <v>0.1</v>
      </c>
      <c r="M79" s="19"/>
      <c r="N79" s="19"/>
      <c r="O79" s="19"/>
      <c r="P79" s="19"/>
      <c r="Q79" s="19"/>
      <c r="R79" s="19"/>
      <c r="S79" s="10"/>
      <c r="T79" s="10"/>
      <c r="U79" s="11"/>
      <c r="V79" s="11"/>
      <c r="W79" s="20"/>
      <c r="X79" s="19"/>
      <c r="Y79" s="19"/>
      <c r="Z79" s="19"/>
      <c r="AA79" s="19"/>
    </row>
    <row r="80" spans="2:27" x14ac:dyDescent="0.25">
      <c r="B80" s="19" t="s">
        <v>49</v>
      </c>
      <c r="C80" s="19">
        <v>15000</v>
      </c>
      <c r="D80" s="19" t="s">
        <v>64</v>
      </c>
      <c r="E80" s="19"/>
      <c r="F80" s="19"/>
      <c r="G80" s="19"/>
      <c r="H80" s="21">
        <v>0.1</v>
      </c>
      <c r="I80" s="21">
        <v>0.05</v>
      </c>
      <c r="J80" s="21"/>
      <c r="K80" s="21">
        <v>0.05</v>
      </c>
      <c r="L80" s="21">
        <v>0.1</v>
      </c>
      <c r="M80" s="19"/>
      <c r="N80" s="19"/>
      <c r="O80" s="19"/>
      <c r="P80" s="19"/>
      <c r="Q80" s="19"/>
      <c r="R80" s="19"/>
      <c r="S80" s="10"/>
      <c r="T80" s="10"/>
      <c r="U80" s="11"/>
      <c r="V80" s="11"/>
      <c r="W80" s="20"/>
      <c r="X80" s="19"/>
      <c r="Y80" s="19"/>
      <c r="Z80" s="19"/>
      <c r="AA80" s="19"/>
    </row>
    <row r="81" spans="2:27" x14ac:dyDescent="0.25">
      <c r="B81" s="19" t="s">
        <v>50</v>
      </c>
      <c r="C81" s="19">
        <v>25000</v>
      </c>
      <c r="D81" s="19" t="s">
        <v>65</v>
      </c>
      <c r="E81" s="19"/>
      <c r="F81" s="19"/>
      <c r="G81" s="19"/>
      <c r="H81" s="21">
        <v>0.1</v>
      </c>
      <c r="I81" s="21">
        <v>0.05</v>
      </c>
      <c r="J81" s="21"/>
      <c r="K81" s="21">
        <v>0.05</v>
      </c>
      <c r="L81" s="21">
        <v>0.1</v>
      </c>
      <c r="M81" s="19"/>
      <c r="N81" s="19"/>
      <c r="O81" s="19"/>
      <c r="P81" s="19"/>
      <c r="Q81" s="19"/>
      <c r="R81" s="19"/>
      <c r="S81" s="10"/>
      <c r="T81" s="10"/>
      <c r="U81" s="11"/>
      <c r="V81" s="11"/>
      <c r="W81" s="20"/>
      <c r="X81" s="19"/>
      <c r="Y81" s="19"/>
      <c r="Z81" s="19"/>
      <c r="AA81" s="19"/>
    </row>
    <row r="82" spans="2:27" x14ac:dyDescent="0.25">
      <c r="B82" s="19" t="s">
        <v>51</v>
      </c>
      <c r="C82" s="19">
        <v>50000</v>
      </c>
      <c r="D82" s="19" t="s">
        <v>66</v>
      </c>
      <c r="E82" s="19"/>
      <c r="F82" s="19"/>
      <c r="G82" s="19"/>
      <c r="H82" s="21">
        <v>0.1</v>
      </c>
      <c r="I82" s="21">
        <v>0.05</v>
      </c>
      <c r="J82" s="21"/>
      <c r="K82" s="21">
        <v>0.05</v>
      </c>
      <c r="L82" s="21">
        <v>0.1</v>
      </c>
      <c r="M82" s="19"/>
      <c r="N82" s="19"/>
      <c r="O82" s="19"/>
      <c r="P82" s="19"/>
      <c r="Q82" s="19"/>
      <c r="R82" s="19"/>
      <c r="S82" s="10"/>
      <c r="T82" s="10"/>
      <c r="U82" s="11"/>
      <c r="V82" s="11"/>
      <c r="W82" s="20"/>
      <c r="X82" s="19"/>
      <c r="Y82" s="19"/>
      <c r="Z82" s="19"/>
      <c r="AA82" s="19"/>
    </row>
    <row r="83" spans="2:27" x14ac:dyDescent="0.25">
      <c r="B83" s="19"/>
      <c r="C83" s="19"/>
      <c r="D83" s="19"/>
      <c r="E83" s="19"/>
      <c r="F83" s="19"/>
      <c r="G83" s="19"/>
      <c r="H83" s="21"/>
      <c r="I83" s="21"/>
      <c r="J83" s="21"/>
      <c r="K83" s="21"/>
      <c r="L83" s="21"/>
      <c r="M83" s="19"/>
      <c r="N83" s="19"/>
      <c r="O83" s="19"/>
      <c r="P83" s="19"/>
      <c r="Q83" s="19"/>
      <c r="R83" s="19"/>
      <c r="S83" s="10"/>
      <c r="T83" s="10"/>
      <c r="U83" s="11"/>
      <c r="V83" s="11"/>
      <c r="W83" s="20"/>
      <c r="X83" s="19"/>
      <c r="Y83" s="19"/>
      <c r="Z83" s="19"/>
      <c r="AA83" s="19"/>
    </row>
    <row r="84" spans="2:27" x14ac:dyDescent="0.25">
      <c r="B84" s="19" t="s">
        <v>52</v>
      </c>
      <c r="C84" s="19">
        <v>10000</v>
      </c>
      <c r="D84" s="19" t="s">
        <v>67</v>
      </c>
      <c r="E84" s="19"/>
      <c r="F84" s="19"/>
      <c r="G84" s="19"/>
      <c r="H84" s="21">
        <v>0.06</v>
      </c>
      <c r="I84" s="21">
        <v>0.06</v>
      </c>
      <c r="J84" s="21">
        <v>0.06</v>
      </c>
      <c r="K84" s="21">
        <v>0.04</v>
      </c>
      <c r="L84" s="21">
        <v>0.08</v>
      </c>
      <c r="M84" s="19"/>
      <c r="N84" s="19"/>
      <c r="O84" s="19"/>
      <c r="P84" s="19"/>
      <c r="Q84" s="19"/>
      <c r="R84" s="19"/>
      <c r="S84" s="10"/>
      <c r="T84" s="10"/>
      <c r="U84" s="11"/>
      <c r="V84" s="11"/>
      <c r="W84" s="20"/>
      <c r="X84" s="19"/>
      <c r="Y84" s="19"/>
      <c r="Z84" s="19"/>
      <c r="AA84" s="19"/>
    </row>
    <row r="85" spans="2:27" x14ac:dyDescent="0.25">
      <c r="B85" s="19" t="s">
        <v>53</v>
      </c>
      <c r="C85" s="19">
        <v>15000</v>
      </c>
      <c r="D85" s="19" t="s">
        <v>68</v>
      </c>
      <c r="E85" s="19"/>
      <c r="F85" s="19"/>
      <c r="G85" s="19"/>
      <c r="H85" s="21">
        <v>0.06</v>
      </c>
      <c r="I85" s="21">
        <v>0.06</v>
      </c>
      <c r="J85" s="21">
        <v>0.06</v>
      </c>
      <c r="K85" s="21">
        <v>0.04</v>
      </c>
      <c r="L85" s="21">
        <v>0.08</v>
      </c>
      <c r="M85" s="19"/>
      <c r="N85" s="19"/>
      <c r="O85" s="19"/>
      <c r="P85" s="19"/>
      <c r="Q85" s="19"/>
      <c r="R85" s="19"/>
      <c r="S85" s="10"/>
      <c r="T85" s="10"/>
      <c r="U85" s="11"/>
      <c r="V85" s="11"/>
      <c r="W85" s="20"/>
      <c r="X85" s="19"/>
      <c r="Y85" s="19"/>
      <c r="Z85" s="19"/>
      <c r="AA85" s="19"/>
    </row>
    <row r="86" spans="2:27" x14ac:dyDescent="0.25">
      <c r="B86" s="19" t="s">
        <v>54</v>
      </c>
      <c r="C86" s="19">
        <v>25000</v>
      </c>
      <c r="D86" s="19" t="s">
        <v>69</v>
      </c>
      <c r="E86" s="19"/>
      <c r="F86" s="19"/>
      <c r="G86" s="19"/>
      <c r="H86" s="21">
        <v>0.06</v>
      </c>
      <c r="I86" s="21">
        <v>0.06</v>
      </c>
      <c r="J86" s="21">
        <v>0.06</v>
      </c>
      <c r="K86" s="21">
        <v>0.04</v>
      </c>
      <c r="L86" s="21">
        <v>0.08</v>
      </c>
      <c r="M86" s="19"/>
      <c r="N86" s="19"/>
      <c r="O86" s="19"/>
      <c r="P86" s="19"/>
      <c r="Q86" s="19"/>
      <c r="R86" s="19"/>
      <c r="S86" s="10"/>
      <c r="T86" s="10"/>
      <c r="U86" s="11"/>
      <c r="V86" s="11"/>
      <c r="W86" s="20"/>
      <c r="X86" s="19"/>
      <c r="Y86" s="19"/>
      <c r="Z86" s="19"/>
      <c r="AA86" s="19"/>
    </row>
    <row r="87" spans="2:27" x14ac:dyDescent="0.25">
      <c r="B87" s="19" t="s">
        <v>55</v>
      </c>
      <c r="C87" s="19">
        <v>50000</v>
      </c>
      <c r="D87" s="19" t="s">
        <v>70</v>
      </c>
      <c r="E87" s="19"/>
      <c r="F87" s="19"/>
      <c r="G87" s="19"/>
      <c r="H87" s="21">
        <v>0.06</v>
      </c>
      <c r="I87" s="21">
        <v>0.06</v>
      </c>
      <c r="J87" s="21">
        <v>0.06</v>
      </c>
      <c r="K87" s="21">
        <v>0.04</v>
      </c>
      <c r="L87" s="21">
        <v>0.08</v>
      </c>
      <c r="M87" s="19"/>
      <c r="N87" s="19"/>
      <c r="O87" s="19"/>
      <c r="P87" s="19"/>
      <c r="Q87" s="19"/>
      <c r="R87" s="19"/>
      <c r="S87" s="10"/>
      <c r="T87" s="10"/>
      <c r="U87" s="11"/>
      <c r="V87" s="11"/>
      <c r="W87" s="20"/>
      <c r="X87" s="19"/>
      <c r="Y87" s="19"/>
      <c r="Z87" s="19"/>
      <c r="AA87" s="19"/>
    </row>
    <row r="88" spans="2:27" x14ac:dyDescent="0.25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0"/>
      <c r="T88" s="10"/>
      <c r="U88" s="11"/>
      <c r="V88" s="11"/>
      <c r="W88" s="20"/>
      <c r="X88" s="19"/>
      <c r="Y88" s="19"/>
      <c r="Z88" s="19"/>
      <c r="AA88" s="19"/>
    </row>
    <row r="89" spans="2:27" x14ac:dyDescent="0.2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0"/>
      <c r="T89" s="10"/>
      <c r="U89" s="11"/>
      <c r="V89" s="11"/>
      <c r="W89" s="20"/>
      <c r="X89" s="19"/>
      <c r="Y89" s="19"/>
      <c r="Z89" s="19"/>
      <c r="AA89" s="19"/>
    </row>
    <row r="90" spans="2:27" x14ac:dyDescent="0.2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0"/>
      <c r="T90" s="10"/>
      <c r="U90" s="11"/>
      <c r="V90" s="11"/>
      <c r="W90" s="20"/>
      <c r="X90" s="19"/>
      <c r="Y90" s="19"/>
      <c r="Z90" s="19"/>
      <c r="AA90" s="19"/>
    </row>
    <row r="91" spans="2:27" x14ac:dyDescent="0.2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0"/>
      <c r="T91" s="10"/>
      <c r="U91" s="11"/>
      <c r="V91" s="11"/>
      <c r="W91" s="20"/>
      <c r="X91" s="19"/>
      <c r="Y91" s="19"/>
      <c r="Z91" s="19"/>
      <c r="AA91" s="19"/>
    </row>
    <row r="92" spans="2:27" x14ac:dyDescent="0.2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0"/>
      <c r="T92" s="10"/>
      <c r="U92" s="11"/>
      <c r="V92" s="11"/>
      <c r="W92" s="20"/>
      <c r="X92" s="19"/>
      <c r="Y92" s="19"/>
      <c r="Z92" s="19"/>
      <c r="AA92" s="19"/>
    </row>
    <row r="93" spans="2:27" x14ac:dyDescent="0.2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0"/>
      <c r="T93" s="10"/>
      <c r="U93" s="11"/>
      <c r="V93" s="11"/>
      <c r="W93" s="20"/>
      <c r="X93" s="19"/>
      <c r="Y93" s="19"/>
      <c r="Z93" s="19"/>
      <c r="AA93" s="19"/>
    </row>
    <row r="96" spans="2:27" x14ac:dyDescent="0.25">
      <c r="F96" s="36" t="s">
        <v>76</v>
      </c>
      <c r="G96" s="37" t="s">
        <v>83</v>
      </c>
      <c r="H96" s="40" t="s">
        <v>84</v>
      </c>
    </row>
    <row r="97" spans="2:8" ht="36.75" customHeight="1" x14ac:dyDescent="0.55000000000000004">
      <c r="B97" s="31" t="s">
        <v>15</v>
      </c>
      <c r="C97" s="33" t="s">
        <v>73</v>
      </c>
      <c r="D97" s="33" t="s">
        <v>74</v>
      </c>
      <c r="E97" s="33" t="s">
        <v>75</v>
      </c>
      <c r="F97" s="33">
        <v>20</v>
      </c>
      <c r="G97" s="33">
        <f>E99-F97</f>
        <v>30</v>
      </c>
      <c r="H97" s="33"/>
    </row>
    <row r="98" spans="2:8" ht="46.5" x14ac:dyDescent="0.7">
      <c r="B98" s="32">
        <v>15000</v>
      </c>
      <c r="C98" s="33">
        <f>0.04*B98</f>
        <v>600</v>
      </c>
      <c r="D98" s="33">
        <f>0.1*B98</f>
        <v>1500</v>
      </c>
      <c r="E98" s="42">
        <f>0.02*D98</f>
        <v>30</v>
      </c>
      <c r="F98" s="38">
        <f>F97*G111</f>
        <v>4800</v>
      </c>
      <c r="G98" s="39">
        <f>G97*E98</f>
        <v>900</v>
      </c>
      <c r="H98" s="41">
        <f>F98-G98</f>
        <v>3900</v>
      </c>
    </row>
    <row r="99" spans="2:8" ht="27.75" customHeight="1" x14ac:dyDescent="0.3">
      <c r="C99" s="33"/>
      <c r="D99" s="33"/>
      <c r="E99" s="33">
        <f>D98/E98</f>
        <v>50</v>
      </c>
      <c r="F99" s="33"/>
      <c r="G99" s="33"/>
      <c r="H99" s="33"/>
    </row>
    <row r="100" spans="2:8" ht="18.75" x14ac:dyDescent="0.3">
      <c r="C100" s="33"/>
      <c r="D100" s="33"/>
      <c r="E100" s="33"/>
      <c r="F100" s="33"/>
      <c r="G100" s="33"/>
      <c r="H100" s="33"/>
    </row>
    <row r="101" spans="2:8" ht="18.75" x14ac:dyDescent="0.3">
      <c r="C101" s="33"/>
      <c r="D101" s="33"/>
      <c r="E101" s="33"/>
      <c r="F101" s="33"/>
      <c r="G101" s="33"/>
      <c r="H101" s="33"/>
    </row>
    <row r="102" spans="2:8" ht="18.75" x14ac:dyDescent="0.3">
      <c r="C102" s="33"/>
      <c r="D102" s="33"/>
      <c r="E102" s="33"/>
      <c r="F102" s="33"/>
      <c r="G102" s="33"/>
      <c r="H102" s="33"/>
    </row>
    <row r="103" spans="2:8" ht="18.75" x14ac:dyDescent="0.3">
      <c r="C103" s="33"/>
      <c r="D103" s="33"/>
      <c r="E103" s="33"/>
      <c r="F103" s="33"/>
      <c r="G103" s="33"/>
      <c r="H103" s="33"/>
    </row>
    <row r="104" spans="2:8" ht="18.75" x14ac:dyDescent="0.3">
      <c r="C104" s="33"/>
      <c r="D104" s="33"/>
      <c r="E104" s="33"/>
      <c r="F104" s="33"/>
      <c r="G104" s="33"/>
      <c r="H104" s="33"/>
    </row>
    <row r="105" spans="2:8" ht="18.75" x14ac:dyDescent="0.3">
      <c r="C105" s="33"/>
      <c r="D105" s="33"/>
      <c r="E105" s="33"/>
      <c r="F105" s="33"/>
      <c r="G105" s="33"/>
      <c r="H105" s="33"/>
    </row>
    <row r="106" spans="2:8" ht="18.75" x14ac:dyDescent="0.3">
      <c r="C106" s="33"/>
      <c r="D106" s="33"/>
      <c r="E106" s="33"/>
      <c r="F106" s="33"/>
      <c r="G106" s="33"/>
      <c r="H106" s="33"/>
    </row>
    <row r="107" spans="2:8" ht="18.75" x14ac:dyDescent="0.3">
      <c r="C107" s="34"/>
      <c r="D107" s="34"/>
      <c r="E107" s="34" t="s">
        <v>80</v>
      </c>
      <c r="F107" s="34"/>
      <c r="G107" s="34" t="s">
        <v>81</v>
      </c>
      <c r="H107" s="33"/>
    </row>
    <row r="108" spans="2:8" ht="18.75" x14ac:dyDescent="0.3">
      <c r="C108" s="33"/>
      <c r="D108" s="33" t="s">
        <v>77</v>
      </c>
      <c r="E108" s="33">
        <f>E98</f>
        <v>30</v>
      </c>
      <c r="F108" s="33" t="s">
        <v>79</v>
      </c>
      <c r="G108" s="33">
        <f>2*E108</f>
        <v>60</v>
      </c>
      <c r="H108" s="33"/>
    </row>
    <row r="109" spans="2:8" ht="18.75" x14ac:dyDescent="0.3">
      <c r="D109" s="33" t="s">
        <v>78</v>
      </c>
      <c r="E109" s="33">
        <f>E108+G108</f>
        <v>90</v>
      </c>
      <c r="F109" s="33" t="s">
        <v>82</v>
      </c>
      <c r="G109" s="33">
        <f>2*E109</f>
        <v>180</v>
      </c>
    </row>
    <row r="110" spans="2:8" ht="18.75" x14ac:dyDescent="0.3">
      <c r="D110" s="33"/>
      <c r="E110" s="33"/>
      <c r="F110" s="33"/>
      <c r="G110" s="33"/>
    </row>
    <row r="111" spans="2:8" ht="18.75" x14ac:dyDescent="0.3">
      <c r="D111" s="33"/>
      <c r="E111" s="33"/>
      <c r="F111" s="33"/>
      <c r="G111" s="35">
        <f>SUM(G108:G110)</f>
        <v>240</v>
      </c>
    </row>
    <row r="112" spans="2:8" ht="18.75" x14ac:dyDescent="0.3">
      <c r="D112" s="33"/>
      <c r="E112" s="33"/>
      <c r="F112" s="33"/>
      <c r="G112" s="33"/>
    </row>
    <row r="116" spans="3:5" ht="3.75" customHeight="1" x14ac:dyDescent="0.25"/>
    <row r="117" spans="3:5" hidden="1" x14ac:dyDescent="0.25"/>
    <row r="118" spans="3:5" ht="33.75" customHeight="1" x14ac:dyDescent="0.4">
      <c r="C118" s="69" t="s">
        <v>89</v>
      </c>
    </row>
    <row r="119" spans="3:5" ht="28.5" x14ac:dyDescent="0.45">
      <c r="C119" s="43" t="s">
        <v>88</v>
      </c>
    </row>
    <row r="120" spans="3:5" ht="27.75" customHeight="1" x14ac:dyDescent="0.25">
      <c r="C120" s="70" t="s">
        <v>86</v>
      </c>
      <c r="D120" s="70" t="s">
        <v>90</v>
      </c>
      <c r="E120" s="70" t="s">
        <v>87</v>
      </c>
    </row>
    <row r="121" spans="3:5" ht="21" x14ac:dyDescent="0.35">
      <c r="C121" s="40">
        <v>10</v>
      </c>
      <c r="D121" s="51">
        <v>30</v>
      </c>
      <c r="E121" s="60">
        <f>D121/(C121*10)</f>
        <v>0.3</v>
      </c>
    </row>
    <row r="122" spans="3:5" ht="21" x14ac:dyDescent="0.35">
      <c r="C122">
        <v>20</v>
      </c>
      <c r="D122" s="52">
        <v>30</v>
      </c>
      <c r="E122" s="61">
        <f t="shared" ref="E122:E135" si="11">D122/(C122*10)</f>
        <v>0.15</v>
      </c>
    </row>
    <row r="123" spans="3:5" ht="21" x14ac:dyDescent="0.35">
      <c r="C123" s="44">
        <v>30</v>
      </c>
      <c r="D123" s="53">
        <v>30</v>
      </c>
      <c r="E123" s="62">
        <f t="shared" si="11"/>
        <v>0.1</v>
      </c>
    </row>
    <row r="124" spans="3:5" ht="21" x14ac:dyDescent="0.35">
      <c r="C124">
        <v>40</v>
      </c>
      <c r="D124" s="52">
        <v>30</v>
      </c>
      <c r="E124" s="61">
        <f t="shared" si="11"/>
        <v>7.4999999999999997E-2</v>
      </c>
    </row>
    <row r="125" spans="3:5" ht="21" x14ac:dyDescent="0.35">
      <c r="C125" s="45">
        <v>50</v>
      </c>
      <c r="D125" s="54">
        <v>30</v>
      </c>
      <c r="E125" s="63">
        <f t="shared" si="11"/>
        <v>0.06</v>
      </c>
    </row>
    <row r="126" spans="3:5" ht="21" x14ac:dyDescent="0.35">
      <c r="C126">
        <v>60</v>
      </c>
      <c r="D126" s="52">
        <v>30</v>
      </c>
      <c r="E126" s="61">
        <f t="shared" si="11"/>
        <v>0.05</v>
      </c>
    </row>
    <row r="127" spans="3:5" ht="21" x14ac:dyDescent="0.35">
      <c r="C127" s="46">
        <v>70</v>
      </c>
      <c r="D127" s="55">
        <v>30</v>
      </c>
      <c r="E127" s="64">
        <f t="shared" si="11"/>
        <v>4.2857142857142858E-2</v>
      </c>
    </row>
    <row r="128" spans="3:5" ht="21" x14ac:dyDescent="0.35">
      <c r="C128">
        <v>80</v>
      </c>
      <c r="D128" s="52">
        <v>30</v>
      </c>
      <c r="E128" s="61">
        <f t="shared" si="11"/>
        <v>3.7499999999999999E-2</v>
      </c>
    </row>
    <row r="129" spans="3:5" ht="21" x14ac:dyDescent="0.35">
      <c r="C129" s="47">
        <v>90</v>
      </c>
      <c r="D129" s="56">
        <v>30</v>
      </c>
      <c r="E129" s="65">
        <f t="shared" si="11"/>
        <v>3.3333333333333333E-2</v>
      </c>
    </row>
    <row r="130" spans="3:5" ht="21" x14ac:dyDescent="0.35">
      <c r="C130">
        <v>100</v>
      </c>
      <c r="D130" s="52">
        <v>30</v>
      </c>
      <c r="E130" s="61">
        <f t="shared" si="11"/>
        <v>0.03</v>
      </c>
    </row>
    <row r="131" spans="3:5" ht="21" x14ac:dyDescent="0.35">
      <c r="C131" s="48">
        <v>110</v>
      </c>
      <c r="D131" s="57">
        <v>30</v>
      </c>
      <c r="E131" s="66">
        <f t="shared" si="11"/>
        <v>2.7272727272727271E-2</v>
      </c>
    </row>
    <row r="132" spans="3:5" ht="21" x14ac:dyDescent="0.35">
      <c r="C132">
        <v>120</v>
      </c>
      <c r="D132" s="52">
        <v>30</v>
      </c>
      <c r="E132" s="61">
        <f t="shared" si="11"/>
        <v>2.5000000000000001E-2</v>
      </c>
    </row>
    <row r="133" spans="3:5" ht="21" x14ac:dyDescent="0.35">
      <c r="C133" s="49">
        <v>130</v>
      </c>
      <c r="D133" s="58">
        <v>30</v>
      </c>
      <c r="E133" s="67">
        <f t="shared" si="11"/>
        <v>2.3076923076923078E-2</v>
      </c>
    </row>
    <row r="134" spans="3:5" ht="21" x14ac:dyDescent="0.35">
      <c r="C134">
        <v>140</v>
      </c>
      <c r="D134" s="52">
        <v>30</v>
      </c>
      <c r="E134" s="61">
        <f t="shared" si="11"/>
        <v>2.1428571428571429E-2</v>
      </c>
    </row>
    <row r="135" spans="3:5" ht="21" x14ac:dyDescent="0.35">
      <c r="C135" s="50">
        <v>150</v>
      </c>
      <c r="D135" s="59">
        <v>30</v>
      </c>
      <c r="E135" s="68">
        <f t="shared" si="11"/>
        <v>0.02</v>
      </c>
    </row>
    <row r="137" spans="3:5" ht="37.5" customHeight="1" x14ac:dyDescent="0.25"/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1B9C-40BC-4FDF-A439-7B59A53D313D}">
  <dimension ref="B1:T23"/>
  <sheetViews>
    <sheetView zoomScale="85" zoomScaleNormal="85" workbookViewId="0">
      <selection activeCell="N15" sqref="N15"/>
    </sheetView>
  </sheetViews>
  <sheetFormatPr defaultRowHeight="15" x14ac:dyDescent="0.25"/>
  <cols>
    <col min="3" max="3" width="60.85546875" customWidth="1"/>
    <col min="4" max="4" width="21.140625" customWidth="1"/>
    <col min="5" max="5" width="9.140625" style="44"/>
    <col min="6" max="6" width="9.7109375" customWidth="1"/>
    <col min="7" max="7" width="7.85546875" customWidth="1"/>
    <col min="8" max="8" width="8.5703125" customWidth="1"/>
    <col min="9" max="9" width="4.85546875" customWidth="1"/>
    <col min="10" max="10" width="14.5703125" customWidth="1"/>
    <col min="11" max="11" width="15.140625" style="47" customWidth="1"/>
    <col min="12" max="12" width="9.140625" style="77"/>
    <col min="14" max="14" width="5.140625" style="9" customWidth="1"/>
    <col min="15" max="15" width="11.85546875" customWidth="1"/>
    <col min="17" max="17" width="15.42578125" customWidth="1"/>
    <col min="20" max="20" width="13.7109375" customWidth="1"/>
  </cols>
  <sheetData>
    <row r="1" spans="2:20" x14ac:dyDescent="0.25">
      <c r="F1" t="s">
        <v>104</v>
      </c>
      <c r="H1" t="s">
        <v>106</v>
      </c>
      <c r="J1" t="s">
        <v>109</v>
      </c>
      <c r="K1" s="47" t="s">
        <v>123</v>
      </c>
      <c r="L1" s="77" t="s">
        <v>137</v>
      </c>
    </row>
    <row r="2" spans="2:20" x14ac:dyDescent="0.25">
      <c r="N2" s="9" t="s">
        <v>150</v>
      </c>
    </row>
    <row r="3" spans="2:20" x14ac:dyDescent="0.25">
      <c r="B3" s="71"/>
      <c r="C3" s="71"/>
      <c r="T3" s="9" t="s">
        <v>153</v>
      </c>
    </row>
    <row r="4" spans="2:20" s="72" customFormat="1" ht="30" x14ac:dyDescent="0.25">
      <c r="B4" s="76">
        <v>1</v>
      </c>
      <c r="C4" s="74" t="s">
        <v>91</v>
      </c>
      <c r="D4" s="73" t="s">
        <v>110</v>
      </c>
      <c r="E4" s="75">
        <v>1</v>
      </c>
      <c r="F4" s="73">
        <v>2990</v>
      </c>
      <c r="G4" s="73">
        <f>F4*E4</f>
        <v>2990</v>
      </c>
      <c r="H4" s="73">
        <v>2900</v>
      </c>
      <c r="I4" s="73"/>
      <c r="J4" s="73">
        <v>3732</v>
      </c>
      <c r="K4" s="85" t="s">
        <v>124</v>
      </c>
      <c r="L4" s="78" t="s">
        <v>139</v>
      </c>
      <c r="M4" s="73"/>
      <c r="N4" s="79">
        <v>1.5</v>
      </c>
      <c r="O4" s="73">
        <f>N4*F4</f>
        <v>4485</v>
      </c>
      <c r="P4" s="73">
        <f>O4*E4</f>
        <v>4485</v>
      </c>
      <c r="Q4" s="73" t="s">
        <v>151</v>
      </c>
      <c r="T4" s="72">
        <f>P4-G4</f>
        <v>1495</v>
      </c>
    </row>
    <row r="5" spans="2:20" s="72" customFormat="1" x14ac:dyDescent="0.25">
      <c r="B5" s="76">
        <v>2</v>
      </c>
      <c r="C5" s="74" t="s">
        <v>92</v>
      </c>
      <c r="D5" s="73" t="s">
        <v>111</v>
      </c>
      <c r="E5" s="75">
        <v>1</v>
      </c>
      <c r="F5" s="73">
        <v>22</v>
      </c>
      <c r="G5" s="73">
        <f t="shared" ref="G5:G16" si="0">F5*E5</f>
        <v>22</v>
      </c>
      <c r="H5" s="73">
        <v>50</v>
      </c>
      <c r="I5" s="73"/>
      <c r="J5" s="73">
        <v>97</v>
      </c>
      <c r="K5" s="85" t="s">
        <v>125</v>
      </c>
      <c r="L5" s="78" t="s">
        <v>140</v>
      </c>
      <c r="M5" s="73"/>
      <c r="N5" s="79">
        <v>1.7</v>
      </c>
      <c r="O5" s="73">
        <f t="shared" ref="O5:O16" si="1">N5*F5</f>
        <v>37.4</v>
      </c>
      <c r="P5" s="73">
        <f t="shared" ref="P5:P16" si="2">O5*E5</f>
        <v>37.4</v>
      </c>
      <c r="Q5" s="73" t="s">
        <v>151</v>
      </c>
      <c r="T5" s="72">
        <f t="shared" ref="T5:T16" si="3">P5-G5</f>
        <v>15.399999999999999</v>
      </c>
    </row>
    <row r="6" spans="2:20" s="72" customFormat="1" x14ac:dyDescent="0.25">
      <c r="B6" s="76">
        <v>3</v>
      </c>
      <c r="C6" s="74" t="s">
        <v>93</v>
      </c>
      <c r="D6" s="73" t="s">
        <v>112</v>
      </c>
      <c r="E6" s="75">
        <v>2</v>
      </c>
      <c r="F6" s="73">
        <v>170</v>
      </c>
      <c r="G6" s="73">
        <f t="shared" si="0"/>
        <v>340</v>
      </c>
      <c r="H6" s="73">
        <v>200</v>
      </c>
      <c r="I6" s="73"/>
      <c r="J6" s="73" t="s">
        <v>108</v>
      </c>
      <c r="K6" s="85" t="s">
        <v>126</v>
      </c>
      <c r="L6" s="78" t="s">
        <v>141</v>
      </c>
      <c r="M6" s="73"/>
      <c r="N6" s="79">
        <v>1.7</v>
      </c>
      <c r="O6" s="73">
        <f t="shared" si="1"/>
        <v>289</v>
      </c>
      <c r="P6" s="73">
        <f t="shared" si="2"/>
        <v>578</v>
      </c>
      <c r="Q6" s="73" t="s">
        <v>151</v>
      </c>
      <c r="T6" s="72">
        <f t="shared" si="3"/>
        <v>238</v>
      </c>
    </row>
    <row r="7" spans="2:20" s="72" customFormat="1" ht="30" x14ac:dyDescent="0.25">
      <c r="B7" s="76">
        <v>4</v>
      </c>
      <c r="C7" s="74" t="s">
        <v>94</v>
      </c>
      <c r="D7" s="73" t="s">
        <v>113</v>
      </c>
      <c r="E7" s="75">
        <v>14</v>
      </c>
      <c r="F7" s="73">
        <v>63</v>
      </c>
      <c r="G7" s="73">
        <f t="shared" si="0"/>
        <v>882</v>
      </c>
      <c r="H7" s="73">
        <v>68</v>
      </c>
      <c r="I7" s="73"/>
      <c r="J7" s="73">
        <v>105</v>
      </c>
      <c r="K7" s="85" t="s">
        <v>127</v>
      </c>
      <c r="L7" s="78" t="s">
        <v>142</v>
      </c>
      <c r="M7" s="73"/>
      <c r="N7" s="79">
        <v>1.7</v>
      </c>
      <c r="O7" s="73">
        <f t="shared" si="1"/>
        <v>107.1</v>
      </c>
      <c r="P7" s="73">
        <f t="shared" si="2"/>
        <v>1499.3999999999999</v>
      </c>
      <c r="Q7" s="73" t="s">
        <v>151</v>
      </c>
      <c r="T7" s="72">
        <f t="shared" si="3"/>
        <v>617.39999999999986</v>
      </c>
    </row>
    <row r="8" spans="2:20" s="72" customFormat="1" ht="45" x14ac:dyDescent="0.25">
      <c r="B8" s="76">
        <v>5</v>
      </c>
      <c r="C8" s="74" t="s">
        <v>95</v>
      </c>
      <c r="D8" s="73" t="s">
        <v>114</v>
      </c>
      <c r="E8" s="75">
        <v>4</v>
      </c>
      <c r="F8" s="73">
        <v>69</v>
      </c>
      <c r="G8" s="73">
        <f t="shared" si="0"/>
        <v>276</v>
      </c>
      <c r="H8" s="73">
        <v>75</v>
      </c>
      <c r="I8" s="73"/>
      <c r="J8" s="73">
        <v>119</v>
      </c>
      <c r="K8" s="86" t="s">
        <v>128</v>
      </c>
      <c r="L8" s="78" t="s">
        <v>143</v>
      </c>
      <c r="M8" s="73"/>
      <c r="N8" s="79">
        <v>1.7</v>
      </c>
      <c r="O8" s="73">
        <f t="shared" si="1"/>
        <v>117.3</v>
      </c>
      <c r="P8" s="73">
        <f t="shared" si="2"/>
        <v>469.2</v>
      </c>
      <c r="Q8" s="73" t="s">
        <v>151</v>
      </c>
      <c r="T8" s="72">
        <f t="shared" si="3"/>
        <v>193.2</v>
      </c>
    </row>
    <row r="9" spans="2:20" s="72" customFormat="1" ht="30" x14ac:dyDescent="0.25">
      <c r="B9" s="76">
        <v>6</v>
      </c>
      <c r="C9" s="74" t="s">
        <v>96</v>
      </c>
      <c r="D9" s="73" t="s">
        <v>115</v>
      </c>
      <c r="E9" s="75">
        <v>4</v>
      </c>
      <c r="F9" s="73">
        <v>165</v>
      </c>
      <c r="G9" s="73">
        <f t="shared" si="0"/>
        <v>660</v>
      </c>
      <c r="H9" s="73">
        <v>190</v>
      </c>
      <c r="I9" s="73"/>
      <c r="J9" s="73">
        <v>231</v>
      </c>
      <c r="K9" s="85" t="s">
        <v>129</v>
      </c>
      <c r="L9" s="78" t="s">
        <v>144</v>
      </c>
      <c r="M9" s="73"/>
      <c r="N9" s="79">
        <v>1.4</v>
      </c>
      <c r="O9" s="73">
        <f t="shared" si="1"/>
        <v>230.99999999999997</v>
      </c>
      <c r="P9" s="73">
        <f t="shared" si="2"/>
        <v>923.99999999999989</v>
      </c>
      <c r="Q9" s="73" t="s">
        <v>151</v>
      </c>
      <c r="T9" s="72">
        <f t="shared" si="3"/>
        <v>263.99999999999989</v>
      </c>
    </row>
    <row r="10" spans="2:20" s="72" customFormat="1" ht="30" x14ac:dyDescent="0.25">
      <c r="B10" s="76">
        <v>7</v>
      </c>
      <c r="C10" s="74" t="s">
        <v>97</v>
      </c>
      <c r="D10" s="73" t="s">
        <v>116</v>
      </c>
      <c r="E10" s="75">
        <v>6</v>
      </c>
      <c r="F10" s="73">
        <v>160</v>
      </c>
      <c r="G10" s="73">
        <f t="shared" si="0"/>
        <v>960</v>
      </c>
      <c r="H10" s="73">
        <v>1140</v>
      </c>
      <c r="I10" s="73"/>
      <c r="J10" s="73">
        <v>188</v>
      </c>
      <c r="K10" s="86" t="s">
        <v>130</v>
      </c>
      <c r="L10" s="78" t="s">
        <v>145</v>
      </c>
      <c r="M10" s="73"/>
      <c r="N10" s="79">
        <v>1.5</v>
      </c>
      <c r="O10" s="73">
        <f t="shared" si="1"/>
        <v>240</v>
      </c>
      <c r="P10" s="73">
        <f t="shared" si="2"/>
        <v>1440</v>
      </c>
      <c r="Q10" s="73" t="s">
        <v>151</v>
      </c>
      <c r="T10" s="72">
        <f t="shared" si="3"/>
        <v>480</v>
      </c>
    </row>
    <row r="11" spans="2:20" s="72" customFormat="1" ht="30" x14ac:dyDescent="0.25">
      <c r="B11" s="76">
        <v>8</v>
      </c>
      <c r="C11" s="74" t="s">
        <v>98</v>
      </c>
      <c r="D11" s="73" t="s">
        <v>117</v>
      </c>
      <c r="E11" s="75">
        <v>33</v>
      </c>
      <c r="F11" s="73">
        <v>11</v>
      </c>
      <c r="G11" s="73">
        <f t="shared" si="0"/>
        <v>363</v>
      </c>
      <c r="H11" s="73">
        <v>20</v>
      </c>
      <c r="I11" s="73"/>
      <c r="J11" s="73">
        <v>21</v>
      </c>
      <c r="K11" s="85" t="s">
        <v>131</v>
      </c>
      <c r="L11" s="78" t="s">
        <v>146</v>
      </c>
      <c r="M11" s="73"/>
      <c r="N11" s="79">
        <v>1.8</v>
      </c>
      <c r="O11" s="73">
        <f t="shared" si="1"/>
        <v>19.8</v>
      </c>
      <c r="P11" s="73">
        <f t="shared" si="2"/>
        <v>653.4</v>
      </c>
      <c r="Q11" s="73" t="s">
        <v>151</v>
      </c>
      <c r="T11" s="72">
        <f t="shared" si="3"/>
        <v>290.39999999999998</v>
      </c>
    </row>
    <row r="12" spans="2:20" s="72" customFormat="1" ht="30" x14ac:dyDescent="0.25">
      <c r="B12" s="76">
        <v>9</v>
      </c>
      <c r="C12" s="74" t="s">
        <v>99</v>
      </c>
      <c r="D12" s="73" t="s">
        <v>118</v>
      </c>
      <c r="E12" s="75">
        <v>5</v>
      </c>
      <c r="F12" s="73">
        <v>18</v>
      </c>
      <c r="G12" s="73">
        <f t="shared" si="0"/>
        <v>90</v>
      </c>
      <c r="H12" s="73">
        <v>150</v>
      </c>
      <c r="I12" s="73"/>
      <c r="J12" s="73">
        <v>32</v>
      </c>
      <c r="K12" s="85" t="s">
        <v>132</v>
      </c>
      <c r="L12" s="78" t="s">
        <v>147</v>
      </c>
      <c r="M12" s="73"/>
      <c r="N12" s="79">
        <v>1.6</v>
      </c>
      <c r="O12" s="73">
        <f t="shared" si="1"/>
        <v>28.8</v>
      </c>
      <c r="P12" s="73">
        <f t="shared" si="2"/>
        <v>144</v>
      </c>
      <c r="Q12" s="73" t="s">
        <v>151</v>
      </c>
      <c r="T12" s="72">
        <f t="shared" si="3"/>
        <v>54</v>
      </c>
    </row>
    <row r="13" spans="2:20" s="72" customFormat="1" x14ac:dyDescent="0.25">
      <c r="B13" s="76">
        <v>10</v>
      </c>
      <c r="C13" s="74" t="s">
        <v>100</v>
      </c>
      <c r="D13" s="73" t="s">
        <v>119</v>
      </c>
      <c r="E13" s="75">
        <v>1</v>
      </c>
      <c r="F13" s="73">
        <v>123</v>
      </c>
      <c r="G13" s="73">
        <f t="shared" si="0"/>
        <v>123</v>
      </c>
      <c r="H13" s="73">
        <v>135</v>
      </c>
      <c r="I13" s="73"/>
      <c r="J13" s="73">
        <v>186</v>
      </c>
      <c r="K13" s="85" t="s">
        <v>133</v>
      </c>
      <c r="L13" s="78" t="s">
        <v>148</v>
      </c>
      <c r="M13" s="73"/>
      <c r="N13" s="79">
        <v>1.6</v>
      </c>
      <c r="O13" s="73">
        <f t="shared" si="1"/>
        <v>196.8</v>
      </c>
      <c r="P13" s="73">
        <f t="shared" si="2"/>
        <v>196.8</v>
      </c>
      <c r="Q13" s="73" t="s">
        <v>151</v>
      </c>
      <c r="T13" s="72">
        <f t="shared" si="3"/>
        <v>73.800000000000011</v>
      </c>
    </row>
    <row r="14" spans="2:20" s="72" customFormat="1" x14ac:dyDescent="0.25">
      <c r="B14" s="76">
        <v>11</v>
      </c>
      <c r="C14" s="74" t="s">
        <v>101</v>
      </c>
      <c r="D14" s="73" t="s">
        <v>120</v>
      </c>
      <c r="E14" s="75">
        <v>1</v>
      </c>
      <c r="F14" s="73">
        <v>405</v>
      </c>
      <c r="G14" s="73">
        <f t="shared" si="0"/>
        <v>405</v>
      </c>
      <c r="H14" s="73">
        <v>400</v>
      </c>
      <c r="I14" s="73"/>
      <c r="J14" s="73">
        <v>522</v>
      </c>
      <c r="K14" s="85" t="s">
        <v>134</v>
      </c>
      <c r="L14" s="78" t="s">
        <v>149</v>
      </c>
      <c r="M14" s="73"/>
      <c r="N14" s="79">
        <v>2</v>
      </c>
      <c r="O14" s="73">
        <f t="shared" si="1"/>
        <v>810</v>
      </c>
      <c r="P14" s="73">
        <f t="shared" si="2"/>
        <v>810</v>
      </c>
      <c r="Q14" s="73" t="s">
        <v>151</v>
      </c>
      <c r="T14" s="72">
        <f t="shared" si="3"/>
        <v>405</v>
      </c>
    </row>
    <row r="15" spans="2:20" s="72" customFormat="1" ht="45" x14ac:dyDescent="0.25">
      <c r="B15" s="76">
        <v>12</v>
      </c>
      <c r="C15" s="74" t="s">
        <v>102</v>
      </c>
      <c r="D15" s="73" t="s">
        <v>121</v>
      </c>
      <c r="E15" s="75">
        <v>2</v>
      </c>
      <c r="F15" s="73" t="s">
        <v>105</v>
      </c>
      <c r="G15" s="73">
        <v>0</v>
      </c>
      <c r="H15" s="74" t="s">
        <v>107</v>
      </c>
      <c r="I15" s="73"/>
      <c r="J15" s="73" t="s">
        <v>108</v>
      </c>
      <c r="K15" s="86" t="s">
        <v>135</v>
      </c>
      <c r="L15" s="78" t="s">
        <v>138</v>
      </c>
      <c r="M15" s="73"/>
      <c r="N15" s="79">
        <v>1.7</v>
      </c>
      <c r="O15" s="73">
        <v>0</v>
      </c>
      <c r="P15" s="73">
        <v>0</v>
      </c>
      <c r="Q15" s="81" t="s">
        <v>152</v>
      </c>
      <c r="T15" s="72">
        <f t="shared" si="3"/>
        <v>0</v>
      </c>
    </row>
    <row r="16" spans="2:20" s="72" customFormat="1" x14ac:dyDescent="0.25">
      <c r="B16" s="76">
        <v>13</v>
      </c>
      <c r="C16" s="74" t="s">
        <v>103</v>
      </c>
      <c r="D16" s="73" t="s">
        <v>122</v>
      </c>
      <c r="E16" s="75">
        <v>4</v>
      </c>
      <c r="F16" s="73">
        <v>157</v>
      </c>
      <c r="G16" s="73">
        <f t="shared" si="0"/>
        <v>628</v>
      </c>
      <c r="H16" s="73">
        <v>720</v>
      </c>
      <c r="I16" s="73"/>
      <c r="J16" s="73">
        <v>228</v>
      </c>
      <c r="K16" s="85" t="s">
        <v>136</v>
      </c>
      <c r="L16" s="78" t="s">
        <v>145</v>
      </c>
      <c r="M16" s="73"/>
      <c r="N16" s="79">
        <v>1.4</v>
      </c>
      <c r="O16" s="73">
        <f t="shared" si="1"/>
        <v>219.79999999999998</v>
      </c>
      <c r="P16" s="73">
        <f t="shared" si="2"/>
        <v>879.19999999999993</v>
      </c>
      <c r="Q16" s="73" t="s">
        <v>151</v>
      </c>
      <c r="T16" s="72">
        <f t="shared" si="3"/>
        <v>251.19999999999993</v>
      </c>
    </row>
    <row r="17" spans="2:20" s="72" customFormat="1" ht="27.75" customHeight="1" x14ac:dyDescent="0.25">
      <c r="B17" s="73"/>
      <c r="C17" s="73"/>
      <c r="D17" s="73"/>
      <c r="E17" s="75"/>
      <c r="F17" s="73"/>
      <c r="G17" s="73"/>
      <c r="H17" s="73"/>
      <c r="I17" s="73"/>
      <c r="J17" s="73"/>
      <c r="K17" s="85"/>
      <c r="L17" s="78"/>
      <c r="M17" s="73"/>
      <c r="N17" s="79"/>
      <c r="O17" s="73"/>
      <c r="P17" s="73"/>
      <c r="Q17" s="73"/>
    </row>
    <row r="18" spans="2:20" x14ac:dyDescent="0.25">
      <c r="B18" s="19"/>
      <c r="C18" s="19"/>
      <c r="D18" s="19"/>
      <c r="E18" s="82"/>
      <c r="F18" s="19"/>
      <c r="G18" s="19"/>
      <c r="H18" s="19"/>
      <c r="I18" s="19"/>
      <c r="J18" s="19"/>
      <c r="K18" s="87"/>
      <c r="L18" s="83"/>
      <c r="M18" s="19"/>
      <c r="O18" s="19"/>
      <c r="P18" s="19">
        <f>SUM(P4:P17)</f>
        <v>12116.4</v>
      </c>
      <c r="Q18" s="19"/>
    </row>
    <row r="19" spans="2:20" x14ac:dyDescent="0.25">
      <c r="G19">
        <f>SUM(G4:G18)</f>
        <v>7739</v>
      </c>
    </row>
    <row r="21" spans="2:20" x14ac:dyDescent="0.25">
      <c r="G21">
        <v>500</v>
      </c>
    </row>
    <row r="23" spans="2:20" ht="26.25" x14ac:dyDescent="0.4">
      <c r="G23">
        <f>G19+G21</f>
        <v>8239</v>
      </c>
      <c r="J23" s="80">
        <f>P18-G23</f>
        <v>3877.3999999999996</v>
      </c>
      <c r="T23" s="84">
        <f>SUM(T4:T22)</f>
        <v>4377.4000000000005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D4BA-4262-47BD-964D-31BD358CE0C7}">
  <dimension ref="B1:T23"/>
  <sheetViews>
    <sheetView tabSelected="1" zoomScaleNormal="100" workbookViewId="0">
      <selection activeCell="X8" sqref="X8"/>
    </sheetView>
  </sheetViews>
  <sheetFormatPr defaultRowHeight="15" x14ac:dyDescent="0.25"/>
  <cols>
    <col min="3" max="3" width="60.85546875" customWidth="1"/>
    <col min="4" max="4" width="21.140625" customWidth="1"/>
    <col min="5" max="5" width="9.140625" style="44"/>
    <col min="6" max="6" width="9.7109375" hidden="1" customWidth="1"/>
    <col min="7" max="7" width="7.85546875" hidden="1" customWidth="1"/>
    <col min="8" max="8" width="8.5703125" hidden="1" customWidth="1"/>
    <col min="9" max="9" width="4.85546875" hidden="1" customWidth="1"/>
    <col min="10" max="10" width="14.5703125" hidden="1" customWidth="1"/>
    <col min="11" max="11" width="15.140625" style="47" hidden="1" customWidth="1"/>
    <col min="12" max="12" width="0" style="77" hidden="1" customWidth="1"/>
    <col min="13" max="13" width="0" hidden="1" customWidth="1"/>
    <col min="14" max="14" width="5.140625" style="9" hidden="1" customWidth="1"/>
    <col min="15" max="15" width="11.85546875" customWidth="1"/>
    <col min="17" max="17" width="15.42578125" customWidth="1"/>
    <col min="20" max="20" width="13.7109375" hidden="1" customWidth="1"/>
  </cols>
  <sheetData>
    <row r="1" spans="2:20" x14ac:dyDescent="0.25">
      <c r="F1" t="s">
        <v>104</v>
      </c>
      <c r="H1" t="s">
        <v>106</v>
      </c>
      <c r="J1" t="s">
        <v>109</v>
      </c>
      <c r="K1" s="47" t="s">
        <v>123</v>
      </c>
      <c r="L1" s="77" t="s">
        <v>137</v>
      </c>
    </row>
    <row r="2" spans="2:20" ht="40.5" customHeight="1" x14ac:dyDescent="0.5">
      <c r="B2" s="92" t="s">
        <v>158</v>
      </c>
      <c r="N2" s="9" t="s">
        <v>150</v>
      </c>
      <c r="O2" s="19" t="s">
        <v>154</v>
      </c>
      <c r="P2" s="30" t="s">
        <v>155</v>
      </c>
    </row>
    <row r="3" spans="2:20" x14ac:dyDescent="0.25">
      <c r="B3" s="71"/>
      <c r="C3" s="71"/>
      <c r="O3" t="s">
        <v>41</v>
      </c>
      <c r="P3" t="s">
        <v>41</v>
      </c>
      <c r="T3" s="9" t="s">
        <v>153</v>
      </c>
    </row>
    <row r="4" spans="2:20" s="72" customFormat="1" ht="30" x14ac:dyDescent="0.25">
      <c r="B4" s="76">
        <v>1</v>
      </c>
      <c r="C4" s="74" t="s">
        <v>91</v>
      </c>
      <c r="D4" s="73" t="s">
        <v>110</v>
      </c>
      <c r="E4" s="75">
        <v>1</v>
      </c>
      <c r="F4" s="73">
        <v>2990</v>
      </c>
      <c r="G4" s="73">
        <f>F4*E4</f>
        <v>2990</v>
      </c>
      <c r="H4" s="73">
        <v>2900</v>
      </c>
      <c r="I4" s="73"/>
      <c r="J4" s="73">
        <v>3732</v>
      </c>
      <c r="K4" s="85" t="s">
        <v>124</v>
      </c>
      <c r="L4" s="78" t="s">
        <v>139</v>
      </c>
      <c r="M4" s="73"/>
      <c r="N4" s="79">
        <v>1.5</v>
      </c>
      <c r="O4" s="73">
        <f>N4*F4</f>
        <v>4485</v>
      </c>
      <c r="P4" s="73">
        <f>O4*E4</f>
        <v>4485</v>
      </c>
      <c r="Q4" s="73" t="s">
        <v>151</v>
      </c>
      <c r="T4" s="72">
        <f>P4-G4</f>
        <v>1495</v>
      </c>
    </row>
    <row r="5" spans="2:20" s="72" customFormat="1" x14ac:dyDescent="0.25">
      <c r="B5" s="76">
        <v>2</v>
      </c>
      <c r="C5" s="74" t="s">
        <v>92</v>
      </c>
      <c r="D5" s="73" t="s">
        <v>111</v>
      </c>
      <c r="E5" s="75">
        <v>1</v>
      </c>
      <c r="F5" s="73">
        <v>22</v>
      </c>
      <c r="G5" s="73">
        <f t="shared" ref="G5:G16" si="0">F5*E5</f>
        <v>22</v>
      </c>
      <c r="H5" s="73">
        <v>50</v>
      </c>
      <c r="I5" s="73"/>
      <c r="J5" s="73">
        <v>97</v>
      </c>
      <c r="K5" s="85" t="s">
        <v>125</v>
      </c>
      <c r="L5" s="78" t="s">
        <v>140</v>
      </c>
      <c r="M5" s="73"/>
      <c r="N5" s="79">
        <v>1.7</v>
      </c>
      <c r="O5" s="73">
        <f t="shared" ref="O5:O16" si="1">N5*F5</f>
        <v>37.4</v>
      </c>
      <c r="P5" s="73">
        <f t="shared" ref="P5:P16" si="2">O5*E5</f>
        <v>37.4</v>
      </c>
      <c r="Q5" s="73" t="s">
        <v>151</v>
      </c>
      <c r="T5" s="72">
        <f t="shared" ref="T5:T16" si="3">P5-G5</f>
        <v>15.399999999999999</v>
      </c>
    </row>
    <row r="6" spans="2:20" s="72" customFormat="1" x14ac:dyDescent="0.25">
      <c r="B6" s="76">
        <v>3</v>
      </c>
      <c r="C6" s="74" t="s">
        <v>93</v>
      </c>
      <c r="D6" s="73" t="s">
        <v>112</v>
      </c>
      <c r="E6" s="75">
        <v>2</v>
      </c>
      <c r="F6" s="73">
        <v>170</v>
      </c>
      <c r="G6" s="73">
        <f t="shared" si="0"/>
        <v>340</v>
      </c>
      <c r="H6" s="73">
        <v>200</v>
      </c>
      <c r="I6" s="73"/>
      <c r="J6" s="73" t="s">
        <v>108</v>
      </c>
      <c r="K6" s="85" t="s">
        <v>126</v>
      </c>
      <c r="L6" s="78" t="s">
        <v>141</v>
      </c>
      <c r="M6" s="73"/>
      <c r="N6" s="79">
        <v>1.7</v>
      </c>
      <c r="O6" s="73">
        <f t="shared" si="1"/>
        <v>289</v>
      </c>
      <c r="P6" s="73">
        <f t="shared" si="2"/>
        <v>578</v>
      </c>
      <c r="Q6" s="73" t="s">
        <v>151</v>
      </c>
      <c r="T6" s="72">
        <f t="shared" si="3"/>
        <v>238</v>
      </c>
    </row>
    <row r="7" spans="2:20" s="72" customFormat="1" ht="30" x14ac:dyDescent="0.25">
      <c r="B7" s="76">
        <v>4</v>
      </c>
      <c r="C7" s="74" t="s">
        <v>94</v>
      </c>
      <c r="D7" s="73" t="s">
        <v>113</v>
      </c>
      <c r="E7" s="75">
        <v>14</v>
      </c>
      <c r="F7" s="73">
        <v>63</v>
      </c>
      <c r="G7" s="73">
        <f t="shared" si="0"/>
        <v>882</v>
      </c>
      <c r="H7" s="73">
        <v>68</v>
      </c>
      <c r="I7" s="73"/>
      <c r="J7" s="73">
        <v>105</v>
      </c>
      <c r="K7" s="85" t="s">
        <v>127</v>
      </c>
      <c r="L7" s="78" t="s">
        <v>142</v>
      </c>
      <c r="M7" s="73"/>
      <c r="N7" s="79">
        <v>1.7</v>
      </c>
      <c r="O7" s="73">
        <f t="shared" si="1"/>
        <v>107.1</v>
      </c>
      <c r="P7" s="73">
        <f t="shared" si="2"/>
        <v>1499.3999999999999</v>
      </c>
      <c r="Q7" s="73" t="s">
        <v>151</v>
      </c>
      <c r="T7" s="72">
        <f t="shared" si="3"/>
        <v>617.39999999999986</v>
      </c>
    </row>
    <row r="8" spans="2:20" s="72" customFormat="1" ht="45" x14ac:dyDescent="0.25">
      <c r="B8" s="76">
        <v>5</v>
      </c>
      <c r="C8" s="74" t="s">
        <v>95</v>
      </c>
      <c r="D8" s="73" t="s">
        <v>114</v>
      </c>
      <c r="E8" s="75">
        <v>4</v>
      </c>
      <c r="F8" s="73">
        <v>69</v>
      </c>
      <c r="G8" s="73">
        <f t="shared" si="0"/>
        <v>276</v>
      </c>
      <c r="H8" s="73">
        <v>75</v>
      </c>
      <c r="I8" s="73"/>
      <c r="J8" s="73">
        <v>119</v>
      </c>
      <c r="K8" s="86" t="s">
        <v>128</v>
      </c>
      <c r="L8" s="78" t="s">
        <v>143</v>
      </c>
      <c r="M8" s="73"/>
      <c r="N8" s="79">
        <v>1.7</v>
      </c>
      <c r="O8" s="73">
        <f t="shared" si="1"/>
        <v>117.3</v>
      </c>
      <c r="P8" s="73">
        <f t="shared" si="2"/>
        <v>469.2</v>
      </c>
      <c r="Q8" s="73" t="s">
        <v>151</v>
      </c>
      <c r="T8" s="72">
        <f t="shared" si="3"/>
        <v>193.2</v>
      </c>
    </row>
    <row r="9" spans="2:20" s="72" customFormat="1" ht="30" x14ac:dyDescent="0.25">
      <c r="B9" s="76">
        <v>6</v>
      </c>
      <c r="C9" s="74" t="s">
        <v>96</v>
      </c>
      <c r="D9" s="73" t="s">
        <v>115</v>
      </c>
      <c r="E9" s="75">
        <v>4</v>
      </c>
      <c r="F9" s="73">
        <v>165</v>
      </c>
      <c r="G9" s="73">
        <f t="shared" si="0"/>
        <v>660</v>
      </c>
      <c r="H9" s="73">
        <v>190</v>
      </c>
      <c r="I9" s="73"/>
      <c r="J9" s="73">
        <v>231</v>
      </c>
      <c r="K9" s="85" t="s">
        <v>129</v>
      </c>
      <c r="L9" s="78" t="s">
        <v>144</v>
      </c>
      <c r="M9" s="73"/>
      <c r="N9" s="79">
        <v>1.4</v>
      </c>
      <c r="O9" s="73">
        <f t="shared" si="1"/>
        <v>230.99999999999997</v>
      </c>
      <c r="P9" s="73">
        <f t="shared" si="2"/>
        <v>923.99999999999989</v>
      </c>
      <c r="Q9" s="73" t="s">
        <v>151</v>
      </c>
      <c r="T9" s="72">
        <f t="shared" si="3"/>
        <v>263.99999999999989</v>
      </c>
    </row>
    <row r="10" spans="2:20" s="72" customFormat="1" ht="30" x14ac:dyDescent="0.25">
      <c r="B10" s="76">
        <v>7</v>
      </c>
      <c r="C10" s="74" t="s">
        <v>97</v>
      </c>
      <c r="D10" s="73" t="s">
        <v>116</v>
      </c>
      <c r="E10" s="75">
        <v>6</v>
      </c>
      <c r="F10" s="73">
        <v>160</v>
      </c>
      <c r="G10" s="73">
        <f t="shared" si="0"/>
        <v>960</v>
      </c>
      <c r="H10" s="73">
        <v>1140</v>
      </c>
      <c r="I10" s="73"/>
      <c r="J10" s="73">
        <v>188</v>
      </c>
      <c r="K10" s="86" t="s">
        <v>130</v>
      </c>
      <c r="L10" s="78" t="s">
        <v>145</v>
      </c>
      <c r="M10" s="73"/>
      <c r="N10" s="79">
        <v>1.5</v>
      </c>
      <c r="O10" s="73">
        <f t="shared" si="1"/>
        <v>240</v>
      </c>
      <c r="P10" s="73">
        <f t="shared" si="2"/>
        <v>1440</v>
      </c>
      <c r="Q10" s="73" t="s">
        <v>151</v>
      </c>
      <c r="T10" s="72">
        <f t="shared" si="3"/>
        <v>480</v>
      </c>
    </row>
    <row r="11" spans="2:20" s="72" customFormat="1" ht="30" x14ac:dyDescent="0.25">
      <c r="B11" s="76">
        <v>8</v>
      </c>
      <c r="C11" s="74" t="s">
        <v>98</v>
      </c>
      <c r="D11" s="73" t="s">
        <v>117</v>
      </c>
      <c r="E11" s="75">
        <v>33</v>
      </c>
      <c r="F11" s="73">
        <v>11</v>
      </c>
      <c r="G11" s="73">
        <f t="shared" si="0"/>
        <v>363</v>
      </c>
      <c r="H11" s="73">
        <v>20</v>
      </c>
      <c r="I11" s="73"/>
      <c r="J11" s="73">
        <v>21</v>
      </c>
      <c r="K11" s="85" t="s">
        <v>131</v>
      </c>
      <c r="L11" s="78" t="s">
        <v>146</v>
      </c>
      <c r="M11" s="73"/>
      <c r="N11" s="79">
        <v>1.8</v>
      </c>
      <c r="O11" s="73">
        <f t="shared" si="1"/>
        <v>19.8</v>
      </c>
      <c r="P11" s="73">
        <f t="shared" si="2"/>
        <v>653.4</v>
      </c>
      <c r="Q11" s="73" t="s">
        <v>151</v>
      </c>
      <c r="T11" s="72">
        <f t="shared" si="3"/>
        <v>290.39999999999998</v>
      </c>
    </row>
    <row r="12" spans="2:20" s="72" customFormat="1" ht="30" x14ac:dyDescent="0.25">
      <c r="B12" s="76">
        <v>9</v>
      </c>
      <c r="C12" s="74" t="s">
        <v>99</v>
      </c>
      <c r="D12" s="73" t="s">
        <v>118</v>
      </c>
      <c r="E12" s="75">
        <v>5</v>
      </c>
      <c r="F12" s="73">
        <v>18</v>
      </c>
      <c r="G12" s="73">
        <f t="shared" si="0"/>
        <v>90</v>
      </c>
      <c r="H12" s="73">
        <v>150</v>
      </c>
      <c r="I12" s="73"/>
      <c r="J12" s="73">
        <v>32</v>
      </c>
      <c r="K12" s="85" t="s">
        <v>132</v>
      </c>
      <c r="L12" s="78" t="s">
        <v>147</v>
      </c>
      <c r="M12" s="73"/>
      <c r="N12" s="79">
        <v>1.6</v>
      </c>
      <c r="O12" s="73">
        <f t="shared" si="1"/>
        <v>28.8</v>
      </c>
      <c r="P12" s="73">
        <f t="shared" si="2"/>
        <v>144</v>
      </c>
      <c r="Q12" s="73" t="s">
        <v>151</v>
      </c>
      <c r="T12" s="72">
        <f t="shared" si="3"/>
        <v>54</v>
      </c>
    </row>
    <row r="13" spans="2:20" s="72" customFormat="1" x14ac:dyDescent="0.25">
      <c r="B13" s="76">
        <v>10</v>
      </c>
      <c r="C13" s="74" t="s">
        <v>100</v>
      </c>
      <c r="D13" s="73" t="s">
        <v>119</v>
      </c>
      <c r="E13" s="75">
        <v>1</v>
      </c>
      <c r="F13" s="73">
        <v>123</v>
      </c>
      <c r="G13" s="73">
        <f t="shared" si="0"/>
        <v>123</v>
      </c>
      <c r="H13" s="73">
        <v>135</v>
      </c>
      <c r="I13" s="73"/>
      <c r="J13" s="73">
        <v>186</v>
      </c>
      <c r="K13" s="85" t="s">
        <v>133</v>
      </c>
      <c r="L13" s="78" t="s">
        <v>148</v>
      </c>
      <c r="M13" s="73"/>
      <c r="N13" s="79">
        <v>1.6</v>
      </c>
      <c r="O13" s="73">
        <f t="shared" si="1"/>
        <v>196.8</v>
      </c>
      <c r="P13" s="73">
        <f t="shared" si="2"/>
        <v>196.8</v>
      </c>
      <c r="Q13" s="73" t="s">
        <v>151</v>
      </c>
      <c r="T13" s="72">
        <f t="shared" si="3"/>
        <v>73.800000000000011</v>
      </c>
    </row>
    <row r="14" spans="2:20" s="72" customFormat="1" x14ac:dyDescent="0.25">
      <c r="B14" s="76">
        <v>11</v>
      </c>
      <c r="C14" s="74" t="s">
        <v>101</v>
      </c>
      <c r="D14" s="73" t="s">
        <v>120</v>
      </c>
      <c r="E14" s="75">
        <v>1</v>
      </c>
      <c r="F14" s="73">
        <v>405</v>
      </c>
      <c r="G14" s="73">
        <f t="shared" si="0"/>
        <v>405</v>
      </c>
      <c r="H14" s="73">
        <v>400</v>
      </c>
      <c r="I14" s="73"/>
      <c r="J14" s="73">
        <v>522</v>
      </c>
      <c r="K14" s="85" t="s">
        <v>134</v>
      </c>
      <c r="L14" s="78" t="s">
        <v>149</v>
      </c>
      <c r="M14" s="73"/>
      <c r="N14" s="79">
        <v>2</v>
      </c>
      <c r="O14" s="73">
        <f t="shared" si="1"/>
        <v>810</v>
      </c>
      <c r="P14" s="73">
        <f t="shared" si="2"/>
        <v>810</v>
      </c>
      <c r="Q14" s="73" t="s">
        <v>151</v>
      </c>
      <c r="T14" s="72">
        <f t="shared" si="3"/>
        <v>405</v>
      </c>
    </row>
    <row r="15" spans="2:20" s="72" customFormat="1" ht="45" x14ac:dyDescent="0.25">
      <c r="B15" s="76">
        <v>12</v>
      </c>
      <c r="C15" s="74" t="s">
        <v>102</v>
      </c>
      <c r="D15" s="73" t="s">
        <v>121</v>
      </c>
      <c r="E15" s="75">
        <v>2</v>
      </c>
      <c r="F15" s="73" t="s">
        <v>105</v>
      </c>
      <c r="G15" s="73">
        <v>0</v>
      </c>
      <c r="H15" s="74" t="s">
        <v>107</v>
      </c>
      <c r="I15" s="73"/>
      <c r="J15" s="73" t="s">
        <v>108</v>
      </c>
      <c r="K15" s="86" t="s">
        <v>135</v>
      </c>
      <c r="L15" s="78" t="s">
        <v>138</v>
      </c>
      <c r="M15" s="73"/>
      <c r="N15" s="79">
        <v>1.7</v>
      </c>
      <c r="O15" s="73">
        <v>0</v>
      </c>
      <c r="P15" s="73">
        <v>0</v>
      </c>
      <c r="Q15" s="81" t="s">
        <v>152</v>
      </c>
      <c r="T15" s="72">
        <f t="shared" si="3"/>
        <v>0</v>
      </c>
    </row>
    <row r="16" spans="2:20" s="72" customFormat="1" x14ac:dyDescent="0.25">
      <c r="B16" s="76">
        <v>13</v>
      </c>
      <c r="C16" s="74" t="s">
        <v>103</v>
      </c>
      <c r="D16" s="73" t="s">
        <v>122</v>
      </c>
      <c r="E16" s="75">
        <v>4</v>
      </c>
      <c r="F16" s="73">
        <v>157</v>
      </c>
      <c r="G16" s="73">
        <f t="shared" si="0"/>
        <v>628</v>
      </c>
      <c r="H16" s="73">
        <v>720</v>
      </c>
      <c r="I16" s="73"/>
      <c r="J16" s="73">
        <v>228</v>
      </c>
      <c r="K16" s="85" t="s">
        <v>136</v>
      </c>
      <c r="L16" s="78" t="s">
        <v>145</v>
      </c>
      <c r="M16" s="73"/>
      <c r="N16" s="79">
        <v>1.4</v>
      </c>
      <c r="O16" s="73">
        <f t="shared" si="1"/>
        <v>219.79999999999998</v>
      </c>
      <c r="P16" s="73">
        <f t="shared" si="2"/>
        <v>879.19999999999993</v>
      </c>
      <c r="Q16" s="73" t="s">
        <v>151</v>
      </c>
      <c r="T16" s="72">
        <f t="shared" si="3"/>
        <v>251.19999999999993</v>
      </c>
    </row>
    <row r="17" spans="2:20" s="72" customFormat="1" ht="27.75" customHeight="1" x14ac:dyDescent="0.25">
      <c r="B17" s="73"/>
      <c r="C17" s="73"/>
      <c r="D17" s="73"/>
      <c r="E17" s="75"/>
      <c r="F17" s="73"/>
      <c r="G17" s="73"/>
      <c r="H17" s="73"/>
      <c r="I17" s="73"/>
      <c r="J17" s="73"/>
      <c r="K17" s="85"/>
      <c r="L17" s="78"/>
      <c r="M17" s="73"/>
      <c r="N17" s="79"/>
      <c r="O17" s="73"/>
      <c r="P17" s="73"/>
      <c r="Q17" s="73"/>
    </row>
    <row r="18" spans="2:20" ht="30.75" customHeight="1" x14ac:dyDescent="0.25">
      <c r="B18" s="19"/>
      <c r="C18" s="19"/>
      <c r="D18" s="19"/>
      <c r="E18" s="82"/>
      <c r="F18" s="19"/>
      <c r="G18" s="19"/>
      <c r="H18" s="19"/>
      <c r="I18" s="19"/>
      <c r="J18" s="19"/>
      <c r="K18" s="87"/>
      <c r="L18" s="83"/>
      <c r="M18" s="19"/>
      <c r="O18" s="19"/>
      <c r="P18" s="90">
        <f>SUM(P4:P17)</f>
        <v>12116.4</v>
      </c>
      <c r="Q18" s="19"/>
    </row>
    <row r="19" spans="2:20" x14ac:dyDescent="0.25">
      <c r="G19">
        <f>SUM(G4:G18)</f>
        <v>7739</v>
      </c>
    </row>
    <row r="20" spans="2:20" ht="21" customHeight="1" x14ac:dyDescent="0.35">
      <c r="C20" s="91">
        <v>46038</v>
      </c>
    </row>
    <row r="21" spans="2:20" ht="18.75" customHeight="1" x14ac:dyDescent="0.25">
      <c r="B21" s="17"/>
      <c r="C21" s="89" t="s">
        <v>156</v>
      </c>
      <c r="G21">
        <v>500</v>
      </c>
    </row>
    <row r="22" spans="2:20" ht="18.75" customHeight="1" x14ac:dyDescent="0.25">
      <c r="B22" s="49"/>
      <c r="C22" s="88" t="s">
        <v>157</v>
      </c>
    </row>
    <row r="23" spans="2:20" ht="18.75" customHeight="1" x14ac:dyDescent="0.4">
      <c r="B23" s="46"/>
      <c r="C23" s="89" t="s">
        <v>159</v>
      </c>
      <c r="G23">
        <f>G19+G21</f>
        <v>8239</v>
      </c>
      <c r="J23" s="80">
        <f>P18-G23</f>
        <v>3877.3999999999996</v>
      </c>
      <c r="T23" s="84">
        <f>SUM(T4:T22)</f>
        <v>4377.4000000000005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Лист1</vt:lpstr>
      <vt:lpstr>SIE</vt:lpstr>
    </vt:vector>
  </TitlesOfParts>
  <Company>LUKOIL Uzbekistan Operating Company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Guzarov, Jamshid Q.</dc:creator>
  <cp:lastModifiedBy>Guzarov, Jamshid Q.</cp:lastModifiedBy>
  <dcterms:created xsi:type="dcterms:W3CDTF">2025-10-25T10:23:57Z</dcterms:created>
  <dcterms:modified xsi:type="dcterms:W3CDTF">2026-01-16T10:39:52Z</dcterms:modified>
</cp:coreProperties>
</file>